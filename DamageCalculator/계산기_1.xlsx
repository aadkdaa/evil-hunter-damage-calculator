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간단 설명서" sheetId="1" r:id="rId5"/>
    <sheet state="visible" name="계산기(복사해서쓰세요)" sheetId="2" r:id="rId6"/>
    <sheet state="visible" name="방어력계산기" sheetId="3" r:id="rId7"/>
    <sheet state="visible" name="비교계산기" sheetId="4" r:id="rId8"/>
    <sheet state="visible" name="갓뚱뉴뚱농뚱" sheetId="5" r:id="rId9"/>
    <sheet state="visible" name="신라이전용낄낄" sheetId="6" r:id="rId10"/>
    <sheet state="visible" name="낄낄이2" sheetId="7" r:id="rId11"/>
    <sheet state="visible" name="낄낄이2의 사본 2" sheetId="8" r:id="rId12"/>
    <sheet state="visible" name="낄낄이2의 사본 1" sheetId="9" r:id="rId13"/>
    <sheet state="visible" name="낄낄이2의 사본" sheetId="10" r:id="rId14"/>
    <sheet state="visible" name="소로" sheetId="11" r:id="rId15"/>
    <sheet state="hidden" name="측정기 원본" sheetId="12" r:id="rId16"/>
    <sheet state="hidden" name="데미지검증기" sheetId="13" r:id="rId17"/>
  </sheets>
  <definedNames>
    <definedName name="제한시간">#REF!</definedName>
    <definedName name="점유시간">#REF!</definedName>
    <definedName name="틱행동">#REF!</definedName>
    <definedName name="평타">#REF!</definedName>
    <definedName name="잔여대기시간">#REF!</definedName>
    <definedName name="틱">#REF!</definedName>
    <definedName name="우선순위">#REF!</definedName>
    <definedName name="테이블">#REF!</definedName>
    <definedName name="스킬대기시간">#REF!</definedName>
    <definedName name="현재시간">#REF!</definedName>
    <definedName name="공속">#REF!</definedName>
    <definedName name="V테이블">LAMBDA(검색키, 순서, VLOOKUP(검색키,테이블,순서,false))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
각인 주의!
만약 인벤토리에 있는 무기랑 비교하려면
헌터가 착용했을 때 인벤표기 공*1.07 해야함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몬스터 피해량 증가</t>
      </text>
    </comment>
    <comment authorId="0" ref="AH1">
      <text>
        <t xml:space="preserve">헌터에게 주는 피해 n% 증가</t>
      </text>
    </comment>
    <comment authorId="0" ref="V85">
      <text>
        <t xml:space="preserve">허수아비-필드보스-아무거나 선택해서 나오는 공격력 입력</t>
      </text>
    </comment>
    <comment authorId="0" ref="D60">
      <text>
        <t xml:space="preserve">질풍 고유옵 입력</t>
      </text>
    </comment>
    <comment authorId="0" ref="U44">
      <text>
        <t xml:space="preserve">무기의 공격속도</t>
      </text>
    </comment>
    <comment authorId="0" ref="U43">
      <text>
        <t xml:space="preserve">무기를 눌러 나오는 무기의 공격력
각인 주의!
만약 인벤토리에 있는 무기랑 비교하려면
헌터가 착용했을 때 인벤표기 공*1.07 해야함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  <comment authorId="0" ref="C44">
      <text>
        <t xml:space="preserve">무기의 공격속도</t>
      </text>
    </comment>
    <comment authorId="0" ref="C43">
      <text>
        <t xml:space="preserve">무기를 눌러 나오는 무기의 공격력
각인 주의!
만약 인벤토리에 있는 무기랑 비교하려면
헌터가 착용했을 때 인벤표기 공*1.07 해야함</t>
      </text>
    </comment>
    <comment authorId="0" ref="V60">
      <text>
        <t xml:space="preserve">질풍 고유옵 입력</t>
      </text>
    </comment>
    <comment authorId="0" ref="AF1">
      <text>
        <t xml:space="preserve">모든 종족 피해량 증가</t>
      </text>
    </comment>
    <comment authorId="0" ref="X57">
      <text>
        <t xml:space="preserve">장착 전후 초공 변화가 있으면 체크</t>
      </text>
    </comment>
    <comment authorId="0" ref="V87">
      <text>
        <t xml:space="preserve">헌터 고유공격력은 800~1200 사이로 나옵니다.
이 범위 값이 나오지 않는다면 입력한 값들을 다시 체크해주세요.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
각인 주의!
만약 인벤토리에 있는 무기랑 비교하려면
헌터가 착용했을 때 인벤표기 공*1.07 해야함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
각인 주의!
만약 인벤토리에 있는 무기랑 비교하려면
헌터가 착용했을 때 인벤표기 공*1.07 해야함</t>
      </text>
    </comment>
    <comment authorId="0" ref="D60">
      <text>
        <t xml:space="preserve">질풍 고유옵 입력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D87">
      <text>
        <t xml:space="preserve">헌터 고유공격력은 800~1200 사이로 나옵니다.
이 범위 값이 나오지 않는다면 입력한 값들을 다시 체크해주세요.</t>
      </text>
    </comment>
    <comment authorId="0" ref="O1">
      <text>
        <t xml:space="preserve">몬스터 피해량 증가</t>
      </text>
    </comment>
    <comment authorId="0" ref="P1">
      <text>
        <t xml:space="preserve">헌터에게 주는 피해 n% 증가</t>
      </text>
    </comment>
    <comment authorId="0" ref="D85">
      <text>
        <t xml:space="preserve">허수아비-필드보스-아무거나 선택해서 나오는 공격력 입력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무기의 공격속도</t>
      </text>
    </comment>
    <comment authorId="0" ref="C43">
      <text>
        <t xml:space="preserve">무기를 눌러 나오는 무기의 공격력</t>
      </text>
    </comment>
    <comment authorId="0" ref="N1">
      <text>
        <t xml:space="preserve">모든 종족 피해량 증가</t>
      </text>
    </comment>
    <comment authorId="0" ref="F57">
      <text>
        <t xml:space="preserve">장착 전후 초공 변화가 있으면 체크</t>
      </text>
    </comment>
    <comment authorId="0" ref="O1">
      <text>
        <t xml:space="preserve">몬스터 피해량 증가</t>
      </text>
    </comment>
    <comment authorId="0" ref="D86">
      <text>
        <t xml:space="preserve">헌터 고유공격력은 800~1200 사이로 나옵니다.
이 범위 값이 나오지 않는다면 입력한 값들을 다시 체크해주세요.</t>
      </text>
    </comment>
    <comment authorId="0" ref="P1">
      <text>
        <t xml:space="preserve">헌터에게 주는 피해 n% 증가</t>
      </text>
    </comment>
  </commentList>
</comments>
</file>

<file path=xl/sharedStrings.xml><?xml version="1.0" encoding="utf-8"?>
<sst xmlns="http://schemas.openxmlformats.org/spreadsheetml/2006/main" count="2325" uniqueCount="187">
  <si>
    <t>장비</t>
  </si>
  <si>
    <t>빨간 칸에만 입력하세요</t>
  </si>
  <si>
    <t>v.1.0.4</t>
  </si>
  <si>
    <t>개인적으로 쓰던거 편의성 살짝 추가한 간이 계산기라 편의성 구린점 양해 바랍니다 ㅜㅠ</t>
  </si>
  <si>
    <t>GOD_데미지계산기</t>
  </si>
  <si>
    <t>스탯</t>
  </si>
  <si>
    <t>계산</t>
  </si>
  <si>
    <t>이속</t>
  </si>
  <si>
    <t>기록</t>
  </si>
  <si>
    <t>투구</t>
  </si>
  <si>
    <t>공속</t>
  </si>
  <si>
    <t>A_요정</t>
  </si>
  <si>
    <t>치확</t>
  </si>
  <si>
    <t>치피</t>
  </si>
  <si>
    <t>공격력</t>
  </si>
  <si>
    <t>-</t>
  </si>
  <si>
    <t>보스</t>
  </si>
  <si>
    <t>방어력</t>
  </si>
  <si>
    <t>영장</t>
  </si>
  <si>
    <t>악마</t>
  </si>
  <si>
    <t>언데드</t>
  </si>
  <si>
    <t>동물</t>
  </si>
  <si>
    <t>모종</t>
  </si>
  <si>
    <t>몬피</t>
  </si>
  <si>
    <t>헌피</t>
  </si>
  <si>
    <t>영피</t>
  </si>
  <si>
    <t>공용</t>
  </si>
  <si>
    <t>승전</t>
  </si>
  <si>
    <t>고리</t>
  </si>
  <si>
    <t>순위</t>
  </si>
  <si>
    <t>연합</t>
  </si>
  <si>
    <t>1~3</t>
  </si>
  <si>
    <t>헌터기본방</t>
  </si>
  <si>
    <t>심뚝</t>
  </si>
  <si>
    <t>(방스탯색깔)</t>
  </si>
  <si>
    <t>깡방합계</t>
  </si>
  <si>
    <t>테스트1</t>
  </si>
  <si>
    <t>등급</t>
  </si>
  <si>
    <t>(헌터등급)</t>
  </si>
  <si>
    <t>A_요정방어력</t>
  </si>
  <si>
    <t>연합버프</t>
  </si>
  <si>
    <t>갑옷</t>
  </si>
  <si>
    <t>레벨</t>
  </si>
  <si>
    <t>건물</t>
  </si>
  <si>
    <t>만렙</t>
  </si>
  <si>
    <t>B_옵션방어력</t>
  </si>
  <si>
    <t>흡갑</t>
  </si>
  <si>
    <t>지하던전</t>
  </si>
  <si>
    <t>도감</t>
  </si>
  <si>
    <t>C_지던방어력</t>
  </si>
  <si>
    <t>층수</t>
  </si>
  <si>
    <t>심갑</t>
  </si>
  <si>
    <t>마을펫</t>
  </si>
  <si>
    <t>방어력계수</t>
  </si>
  <si>
    <t>라이딩</t>
  </si>
  <si>
    <t>장갑</t>
  </si>
  <si>
    <t>비법</t>
  </si>
  <si>
    <t>룬</t>
  </si>
  <si>
    <t>심장</t>
  </si>
  <si>
    <t>(계산)</t>
  </si>
  <si>
    <t>C_지던</t>
  </si>
  <si>
    <t>신발</t>
  </si>
  <si>
    <t>불굴</t>
  </si>
  <si>
    <t>헌터</t>
  </si>
  <si>
    <t>코스츔</t>
  </si>
  <si>
    <t>심신</t>
  </si>
  <si>
    <t>헌터의 장비 눌러서 나오는 방어력 입력</t>
  </si>
  <si>
    <t>빨간 박스만 수정</t>
  </si>
  <si>
    <t>인장</t>
  </si>
  <si>
    <t>마을 펫</t>
  </si>
  <si>
    <t>v.1.0.1</t>
  </si>
  <si>
    <t>라이딩펫</t>
  </si>
  <si>
    <t>요정</t>
  </si>
  <si>
    <t>공6</t>
  </si>
  <si>
    <t>헌터정보</t>
  </si>
  <si>
    <t>U+</t>
  </si>
  <si>
    <t>성격</t>
  </si>
  <si>
    <t>기타</t>
  </si>
  <si>
    <t>공격력:보라</t>
  </si>
  <si>
    <t>공격속도:보라</t>
  </si>
  <si>
    <t>치확:보라</t>
  </si>
  <si>
    <t>태생치확 +1</t>
  </si>
  <si>
    <t>비법서</t>
  </si>
  <si>
    <t>(직접입력)</t>
  </si>
  <si>
    <t>퀴큰</t>
  </si>
  <si>
    <t>퀴큰 0</t>
  </si>
  <si>
    <t>무기공</t>
  </si>
  <si>
    <t>무기속</t>
  </si>
  <si>
    <t>퓨리</t>
  </si>
  <si>
    <t>미덕</t>
  </si>
  <si>
    <t>신강</t>
  </si>
  <si>
    <t>무기:5강</t>
  </si>
  <si>
    <t>직업군</t>
  </si>
  <si>
    <t>버서커</t>
  </si>
  <si>
    <t>소서러</t>
  </si>
  <si>
    <t>영웅 (4차)</t>
  </si>
  <si>
    <t>공/피</t>
  </si>
  <si>
    <t>증폭_A</t>
  </si>
  <si>
    <t>%</t>
  </si>
  <si>
    <t>장착</t>
  </si>
  <si>
    <t>초공반영</t>
  </si>
  <si>
    <t>PvP
데미지 / 공격력</t>
  </si>
  <si>
    <t>PvE
데미지 / 공격력</t>
  </si>
  <si>
    <t>강철 고삐</t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</si>
  <si>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</si>
  <si>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t>용의 가호</t>
  </si>
  <si>
    <t>질풍*</t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</si>
  <si>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</si>
  <si>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t>진질풍</t>
  </si>
  <si>
    <t>max</t>
  </si>
  <si>
    <t>총합</t>
  </si>
  <si>
    <t>증폭_B</t>
  </si>
  <si>
    <t>PvP
데미지 / 초공</t>
  </si>
  <si>
    <t>PvE &amp; PvP
데미지 / 공격력</t>
  </si>
  <si>
    <t>신성 고삐</t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</si>
  <si>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</si>
  <si>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</si>
  <si>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</si>
  <si>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t>배틀샤우트</t>
  </si>
  <si>
    <t>증폭_C</t>
  </si>
  <si>
    <t>저주의 고삐</t>
  </si>
  <si>
    <t>필요시 사용</t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</si>
  <si>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</si>
  <si>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t>증폭_개별</t>
  </si>
  <si>
    <t>모두 개별 곱산
대악마, 공격력 물약, 소울이터 등</t>
  </si>
  <si>
    <t>순서대로 행동하세요</t>
  </si>
  <si>
    <t>공격력%</t>
  </si>
  <si>
    <t>A</t>
  </si>
  <si>
    <t>B</t>
  </si>
  <si>
    <t>C</t>
  </si>
  <si>
    <t>C'</t>
  </si>
  <si>
    <t>D</t>
  </si>
  <si>
    <t>PvP</t>
  </si>
  <si>
    <t>PvE</t>
  </si>
  <si>
    <t>허수아비(보스)상 헌터의 공격력</t>
  </si>
  <si>
    <t>입력:</t>
  </si>
  <si>
    <t>치피%</t>
  </si>
  <si>
    <t>A'</t>
  </si>
  <si>
    <t>Pv영장몹</t>
  </si>
  <si>
    <t>계산된 헌터의 고유공격력</t>
  </si>
  <si>
    <t>출력:</t>
  </si>
  <si>
    <t>치확%</t>
  </si>
  <si>
    <t>태생</t>
  </si>
  <si>
    <t>직접 헌터의 고유공격력 입력</t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</si>
  <si>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</si>
  <si>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t>적용</t>
  </si>
  <si>
    <t>행동간격</t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</si>
  <si>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</si>
  <si>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t>이속%</t>
  </si>
  <si>
    <t>초공</t>
  </si>
  <si>
    <t>증폭</t>
  </si>
  <si>
    <t>데미지</t>
  </si>
  <si>
    <t>(메모장)</t>
  </si>
  <si>
    <t>종족</t>
  </si>
  <si>
    <t>계수</t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</si>
  <si>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</si>
  <si>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t>피해량증가</t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</si>
  <si>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</si>
  <si>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t>단위</t>
  </si>
  <si>
    <t>평타 기준!</t>
  </si>
  <si>
    <t>M</t>
  </si>
  <si>
    <t>크리</t>
  </si>
  <si>
    <t>K</t>
  </si>
  <si>
    <t>노크리</t>
  </si>
  <si>
    <t>초공*치확 반영</t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</si>
  <si>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</si>
  <si>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</si>
  <si>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</si>
  <si>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</si>
  <si>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</si>
  <si>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</si>
  <si>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t xml:space="preserve"> 기준 데미지 계산기</t>
  </si>
  <si>
    <t>2개 이상인것의 랭크</t>
  </si>
  <si>
    <t>오차</t>
  </si>
  <si>
    <t>b</t>
  </si>
  <si>
    <t>m</t>
  </si>
  <si>
    <t>k</t>
  </si>
  <si>
    <t>실제값 2개 입력</t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</si>
  <si>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</si>
  <si>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</si>
  <si>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</si>
  <si>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</si>
  <si>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r>
      <rPr>
        <rFont val="Arial"/>
        <b/>
        <color theme="1"/>
        <sz val="8.0"/>
      </rPr>
      <t>증폭 그룹 A (개인버프)</t>
    </r>
    <r>
      <rPr>
        <rFont val="Arial"/>
        <color theme="1"/>
        <sz val="8.0"/>
      </rPr>
      <t xml:space="preserve">
강철 고삐, 용의 가호, 질풍의 경갑
</t>
    </r>
    <r>
      <rPr>
        <rFont val="Arial"/>
        <i/>
        <color theme="1"/>
        <sz val="8.0"/>
      </rPr>
      <t>조사 중</t>
    </r>
  </si>
  <si>
    <t>질풍의 경갑*</t>
  </si>
  <si>
    <r>
      <rPr>
        <rFont val="Arial"/>
        <b/>
        <color theme="1"/>
        <sz val="8.0"/>
      </rPr>
      <t>증폭 그룹 B (파티퍼프)</t>
    </r>
    <r>
      <rPr>
        <rFont val="Arial"/>
        <color theme="1"/>
        <sz val="8.0"/>
      </rPr>
      <t xml:space="preserve">
신성 고삐, 배틀샤우트
</t>
    </r>
    <r>
      <rPr>
        <rFont val="Arial"/>
        <i/>
        <color theme="1"/>
        <sz val="8.0"/>
      </rPr>
      <t>조사 중</t>
    </r>
  </si>
  <si>
    <t>허수아비상 헌터의 공격력</t>
  </si>
  <si>
    <t>평타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</si>
</sst>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&quot;%&quot;"/>
    <numFmt numFmtId="165" formatCode="#,##0.0000"/>
    <numFmt numFmtId="166" formatCode="0&quot;층&quot;"/>
    <numFmt numFmtId="167" formatCode="#,##0.0"/>
    <numFmt numFmtId="168" formatCode="0.000"/>
    <numFmt numFmtId="169" formatCode="0.0000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48.0"/>
      <color rgb="FFFFFF00"/>
      <name val="Arial"/>
      <scheme val="minor"/>
    </font>
    <font>
      <b/>
      <sz val="6.0"/>
      <color theme="1"/>
      <name val="Arial"/>
      <scheme val="minor"/>
    </font>
    <font>
      <sz val="12.0"/>
      <color rgb="FFFFFF00"/>
      <name val="Arial"/>
      <scheme val="minor"/>
    </font>
    <font>
      <sz val="7.0"/>
      <color theme="1"/>
      <name val="Arial"/>
      <scheme val="minor"/>
    </font>
    <font>
      <b/>
      <sz val="16.0"/>
      <color rgb="FFFFD966"/>
      <name val="Arial"/>
      <scheme val="minor"/>
    </font>
    <font>
      <b/>
      <sz val="11.0"/>
      <color theme="1"/>
      <name val="Arial"/>
      <scheme val="minor"/>
    </font>
    <font>
      <b/>
      <sz val="9.0"/>
      <color theme="1"/>
      <name val="Arial"/>
      <scheme val="minor"/>
    </font>
    <font>
      <b/>
      <sz val="11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FF9900"/>
      <name val="Arial"/>
      <scheme val="minor"/>
    </font>
    <font>
      <sz val="9.0"/>
      <color theme="0"/>
      <name val="Arial"/>
      <scheme val="minor"/>
    </font>
    <font>
      <sz val="8.0"/>
      <color theme="1"/>
      <name val="Arial"/>
      <scheme val="minor"/>
    </font>
    <font>
      <b/>
      <sz val="11.0"/>
      <color theme="0"/>
      <name val="Arial"/>
      <scheme val="minor"/>
    </font>
    <font/>
    <font>
      <sz val="9.0"/>
      <color theme="1"/>
      <name val="Arial"/>
      <scheme val="minor"/>
    </font>
    <font>
      <b/>
      <sz val="8.0"/>
      <color theme="1"/>
      <name val="Arial"/>
      <scheme val="minor"/>
    </font>
    <font>
      <color theme="0"/>
      <name val="Arial"/>
      <scheme val="minor"/>
    </font>
    <font>
      <b/>
      <sz val="7.0"/>
      <color theme="1"/>
      <name val="Arial"/>
      <scheme val="minor"/>
    </font>
    <font>
      <b/>
      <color rgb="FF980000"/>
      <name val="Arial"/>
      <scheme val="minor"/>
    </font>
    <font>
      <sz val="18.0"/>
      <color rgb="FFFF0000"/>
      <name val="Arial"/>
      <scheme val="minor"/>
    </font>
    <font>
      <sz val="9.0"/>
      <color theme="1"/>
      <name val="Google Sans Mono"/>
    </font>
    <font>
      <sz val="7.0"/>
      <color rgb="FFCCCCCC"/>
      <name val="Arial"/>
      <scheme val="minor"/>
    </font>
    <font>
      <sz val="8.0"/>
      <color theme="0"/>
      <name val="Arial"/>
      <scheme val="minor"/>
    </font>
    <font>
      <b/>
      <sz val="8.0"/>
      <color theme="0"/>
      <name val="Arial"/>
      <scheme val="minor"/>
    </font>
    <font>
      <b/>
      <sz val="11.0"/>
      <color rgb="FF980000"/>
      <name val="Arial"/>
      <scheme val="minor"/>
    </font>
    <font>
      <b/>
      <sz val="16.0"/>
      <color rgb="FFFF0000"/>
      <name val="Arial"/>
      <scheme val="minor"/>
    </font>
    <font>
      <sz val="6.0"/>
      <color theme="1"/>
      <name val="Arial"/>
      <scheme val="minor"/>
    </font>
    <font>
      <b/>
      <sz val="11.0"/>
      <color rgb="FFFFFFFF"/>
      <name val="Arial"/>
      <scheme val="minor"/>
    </font>
    <font>
      <b/>
      <i/>
      <color theme="1"/>
      <name val="Arial"/>
      <scheme val="minor"/>
    </font>
    <font>
      <b/>
      <sz val="8.0"/>
      <color rgb="FF980000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36">
    <border/>
    <border>
      <left style="medium">
        <color rgb="FFFF0000"/>
      </left>
      <right style="medium">
        <color rgb="FFFF0000"/>
      </right>
      <top style="medium">
        <color rgb="FFFF0000"/>
      </top>
    </border>
    <border>
      <left style="medium">
        <color rgb="FFFF0000"/>
      </left>
      <top style="medium">
        <color rgb="FFFF0000"/>
      </top>
    </border>
    <border>
      <top style="medium">
        <color rgb="FFFF0000"/>
      </top>
    </border>
    <border>
      <right style="medium">
        <color rgb="FFFF0000"/>
      </right>
      <top style="medium">
        <color rgb="FFFF0000"/>
      </top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medium">
        <color rgb="FFFF0000"/>
      </left>
    </border>
    <border>
      <right style="medium">
        <color rgb="FFFF0000"/>
      </right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</border>
    <border>
      <right style="medium">
        <color rgb="FF666666"/>
      </right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666666"/>
      </left>
      <bottom style="medium">
        <color rgb="FF666666"/>
      </bottom>
    </border>
    <border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medium">
        <color rgb="FFFF0000"/>
      </top>
      <bottom style="medium">
        <color rgb="FFFF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1" xfId="0" applyAlignment="1" applyFill="1" applyFont="1" applyNumberForma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0" fontId="6" numFmtId="1" xfId="0" applyAlignment="1" applyFont="1" applyNumberFormat="1">
      <alignment horizontal="center" readingOrder="0" vertical="center"/>
    </xf>
    <xf borderId="0" fillId="4" fontId="7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6" fontId="6" numFmtId="1" xfId="0" applyAlignment="1" applyFill="1" applyFont="1" applyNumberFormat="1">
      <alignment horizontal="center" readingOrder="0" vertical="center"/>
    </xf>
    <xf borderId="0" fillId="7" fontId="8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1" fillId="6" fontId="6" numFmtId="1" xfId="0" applyAlignment="1" applyBorder="1" applyFill="1" applyFont="1" applyNumberFormat="1">
      <alignment horizontal="center" readingOrder="0" vertical="center"/>
    </xf>
    <xf borderId="0" fillId="9" fontId="8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6" fontId="9" numFmtId="1" xfId="0" applyAlignment="1" applyFill="1" applyFont="1" applyNumberFormat="1">
      <alignment horizontal="center" readingOrder="0" vertical="center"/>
    </xf>
    <xf borderId="0" fillId="10" fontId="8" numFmtId="0" xfId="0" applyAlignment="1" applyFill="1" applyFont="1">
      <alignment horizontal="center" readingOrder="0" vertical="center"/>
    </xf>
    <xf borderId="0" fillId="11" fontId="8" numFmtId="0" xfId="0" applyAlignment="1" applyFill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horizontal="center" readingOrder="0" vertical="center"/>
    </xf>
    <xf borderId="0" fillId="6" fontId="9" numFmtId="3" xfId="0" applyAlignment="1" applyFill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2" fillId="0" fontId="6" numFmtId="1" xfId="0" applyAlignment="1" applyBorder="1" applyFont="1" applyNumberFormat="1">
      <alignment horizontal="center" readingOrder="0" vertical="center"/>
    </xf>
    <xf borderId="0" fillId="4" fontId="12" numFmtId="0" xfId="0" applyAlignment="1" applyFill="1" applyFont="1">
      <alignment horizontal="center" readingOrder="0" vertical="center"/>
    </xf>
    <xf borderId="3" fillId="0" fontId="6" numFmtId="1" xfId="0" applyAlignment="1" applyBorder="1" applyFont="1" applyNumberFormat="1">
      <alignment horizontal="center" readingOrder="0" vertical="center"/>
    </xf>
    <xf borderId="0" fillId="4" fontId="13" numFmtId="0" xfId="0" applyAlignment="1" applyFill="1" applyFont="1">
      <alignment horizontal="center" vertical="center"/>
    </xf>
    <xf borderId="4" fillId="0" fontId="6" numFmtId="1" xfId="0" applyAlignment="1" applyBorder="1" applyFont="1" applyNumberFormat="1">
      <alignment horizontal="center" readingOrder="0" vertical="center"/>
    </xf>
    <xf borderId="0" fillId="4" fontId="13" numFmtId="0" xfId="0" applyAlignment="1" applyFill="1" applyFont="1">
      <alignment horizontal="center" readingOrder="0" vertical="center"/>
    </xf>
    <xf borderId="0" fillId="14" fontId="14" numFmtId="0" xfId="0" applyAlignment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3" fillId="0" fontId="6" numFmtId="3" xfId="0" applyAlignment="1" applyBorder="1" applyFont="1" applyNumberFormat="1">
      <alignment horizontal="center" readingOrder="0" vertical="center"/>
    </xf>
    <xf borderId="0" fillId="4" fontId="15" numFmtId="0" xfId="0" applyAlignment="1" applyFill="1" applyFont="1">
      <alignment horizontal="center" readingOrder="0" vertical="center"/>
    </xf>
    <xf borderId="4" fillId="0" fontId="16" numFmtId="0" xfId="0" applyBorder="1" applyFont="1"/>
    <xf borderId="0" fillId="15" fontId="6" numFmtId="1" xfId="0" applyAlignment="1" applyFill="1" applyFont="1" applyNumberFormat="1">
      <alignment horizontal="center" readingOrder="0" vertical="center"/>
    </xf>
    <xf borderId="5" fillId="15" fontId="6" numFmtId="1" xfId="0" applyAlignment="1" applyBorder="1" applyFill="1" applyFont="1" applyNumberFormat="1">
      <alignment horizontal="center" readingOrder="0" vertical="center"/>
    </xf>
    <xf borderId="6" fillId="6" fontId="1" numFmtId="0" xfId="0" applyAlignment="1" applyBorder="1" applyFill="1" applyFont="1">
      <alignment horizontal="center" readingOrder="0" vertical="center"/>
    </xf>
    <xf borderId="0" fillId="16" fontId="17" numFmtId="0" xfId="0" applyAlignment="1" applyFill="1" applyFont="1">
      <alignment horizontal="center" vertical="center"/>
    </xf>
    <xf borderId="0" fillId="0" fontId="6" numFmtId="3" xfId="0" applyAlignment="1" applyFont="1" applyNumberFormat="1">
      <alignment horizontal="center" readingOrder="0" vertical="center"/>
    </xf>
    <xf borderId="0" fillId="17" fontId="17" numFmtId="0" xfId="0" applyAlignment="1" applyFill="1" applyFont="1">
      <alignment horizontal="center" vertical="center"/>
    </xf>
    <xf borderId="7" fillId="0" fontId="6" numFmtId="1" xfId="0" applyAlignment="1" applyBorder="1" applyFont="1" applyNumberFormat="1">
      <alignment horizontal="center" readingOrder="0" vertical="center"/>
    </xf>
    <xf borderId="0" fillId="8" fontId="17" numFmtId="0" xfId="0" applyAlignment="1" applyFill="1" applyFont="1">
      <alignment horizontal="center" vertical="center"/>
    </xf>
    <xf borderId="8" fillId="0" fontId="6" numFmtId="1" xfId="0" applyAlignment="1" applyBorder="1" applyFont="1" applyNumberFormat="1">
      <alignment horizontal="center" readingOrder="0" vertical="center"/>
    </xf>
    <xf borderId="8" fillId="0" fontId="16" numFmtId="0" xfId="0" applyBorder="1" applyFont="1"/>
    <xf borderId="9" fillId="9" fontId="17" numFmtId="0" xfId="0" applyAlignment="1" applyBorder="1" applyFill="1" applyFont="1">
      <alignment horizontal="center" readingOrder="0" vertical="center"/>
    </xf>
    <xf borderId="10" fillId="0" fontId="6" numFmtId="1" xfId="0" applyAlignment="1" applyBorder="1" applyFont="1" applyNumberFormat="1">
      <alignment horizontal="center" readingOrder="0" vertical="center"/>
    </xf>
    <xf borderId="9" fillId="15" fontId="17" numFmtId="0" xfId="0" applyAlignment="1" applyBorder="1" applyFill="1" applyFont="1">
      <alignment horizontal="center" readingOrder="0" vertical="center"/>
    </xf>
    <xf borderId="11" fillId="0" fontId="6" numFmtId="1" xfId="0" applyAlignment="1" applyBorder="1" applyFont="1" applyNumberFormat="1">
      <alignment horizontal="center" readingOrder="0" vertical="center"/>
    </xf>
    <xf borderId="0" fillId="15" fontId="17" numFmtId="0" xfId="0" applyAlignment="1" applyFill="1" applyFont="1">
      <alignment horizontal="center" vertical="center"/>
    </xf>
    <xf borderId="11" fillId="0" fontId="6" numFmtId="3" xfId="0" applyAlignment="1" applyBorder="1" applyFont="1" applyNumberFormat="1">
      <alignment horizontal="center" readingOrder="0" vertical="center"/>
    </xf>
    <xf borderId="12" fillId="0" fontId="16" numFmtId="0" xfId="0" applyBorder="1" applyFont="1"/>
    <xf borderId="0" fillId="10" fontId="17" numFmtId="0" xfId="0" applyAlignment="1" applyFill="1" applyFont="1">
      <alignment horizontal="center" vertical="center"/>
    </xf>
    <xf borderId="0" fillId="11" fontId="17" numFmtId="0" xfId="0" applyAlignment="1" applyFill="1" applyFont="1">
      <alignment horizontal="center" vertical="center"/>
    </xf>
    <xf borderId="0" fillId="12" fontId="17" numFmtId="0" xfId="0" applyAlignment="1" applyFill="1" applyFont="1">
      <alignment horizontal="center" vertical="center"/>
    </xf>
    <xf borderId="0" fillId="13" fontId="17" numFmtId="0" xfId="0" applyAlignment="1" applyFill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15" fontId="18" numFmtId="164" xfId="0" applyAlignment="1" applyFill="1" applyFont="1" applyNumberFormat="1">
      <alignment horizontal="center" readingOrder="0" vertical="center"/>
    </xf>
    <xf borderId="0" fillId="15" fontId="6" numFmtId="2" xfId="0" applyAlignment="1" applyFill="1" applyFont="1" applyNumberFormat="1">
      <alignment horizontal="center" readingOrder="0" vertical="center"/>
    </xf>
    <xf borderId="0" fillId="4" fontId="19" numFmtId="0" xfId="0" applyAlignment="1" applyFill="1" applyFont="1">
      <alignment horizontal="center" readingOrder="0" vertical="center"/>
    </xf>
    <xf borderId="9" fillId="17" fontId="17" numFmtId="0" xfId="0" applyAlignment="1" applyBorder="1" applyFill="1" applyFont="1">
      <alignment horizontal="center" readingOrder="0" vertical="center"/>
    </xf>
    <xf borderId="0" fillId="0" fontId="11" numFmtId="0" xfId="0" applyFont="1"/>
    <xf borderId="0" fillId="6" fontId="18" numFmtId="1" xfId="0" applyAlignment="1" applyFill="1" applyFont="1" applyNumberFormat="1">
      <alignment horizontal="center" readingOrder="0" vertical="center"/>
    </xf>
    <xf borderId="0" fillId="6" fontId="20" numFmtId="165" xfId="0" applyAlignment="1" applyFill="1" applyFont="1" applyNumberFormat="1">
      <alignment horizontal="center" readingOrder="0" vertical="center"/>
    </xf>
    <xf borderId="9" fillId="9" fontId="17" numFmtId="0" xfId="0" applyAlignment="1" applyBorder="1" applyFill="1" applyFont="1">
      <alignment horizontal="center" vertical="center"/>
    </xf>
    <xf borderId="13" fillId="15" fontId="6" numFmtId="1" xfId="0" applyAlignment="1" applyBorder="1" applyFill="1" applyFont="1" applyNumberFormat="1">
      <alignment horizontal="center" readingOrder="0" vertical="center"/>
    </xf>
    <xf borderId="6" fillId="16" fontId="17" numFmtId="0" xfId="0" applyAlignment="1" applyBorder="1" applyFill="1" applyFont="1">
      <alignment horizontal="center" readingOrder="0" vertical="center"/>
    </xf>
    <xf borderId="14" fillId="6" fontId="6" numFmtId="166" xfId="0" applyAlignment="1" applyBorder="1" applyFill="1" applyFont="1" applyNumberFormat="1">
      <alignment horizontal="center" readingOrder="0" vertical="center"/>
    </xf>
    <xf borderId="0" fillId="17" fontId="17" numFmtId="0" xfId="0" applyAlignment="1" applyFill="1" applyFont="1">
      <alignment horizontal="center" readingOrder="0" vertical="center"/>
    </xf>
    <xf borderId="6" fillId="8" fontId="17" numFmtId="0" xfId="0" applyAlignment="1" applyBorder="1" applyFill="1" applyFont="1">
      <alignment horizontal="center" readingOrder="0" vertical="center"/>
    </xf>
    <xf borderId="6" fillId="9" fontId="17" numFmtId="0" xfId="0" applyAlignment="1" applyBorder="1" applyFill="1" applyFont="1">
      <alignment horizontal="center" readingOrder="0" vertical="center"/>
    </xf>
    <xf borderId="0" fillId="6" fontId="21" numFmtId="0" xfId="0" applyAlignment="1" applyFill="1" applyFont="1">
      <alignment horizontal="center" readingOrder="0" vertical="center"/>
    </xf>
    <xf borderId="0" fillId="6" fontId="17" numFmtId="0" xfId="0" applyAlignment="1" applyFill="1" applyFont="1">
      <alignment horizontal="center" vertical="center"/>
    </xf>
    <xf borderId="0" fillId="6" fontId="17" numFmtId="0" xfId="0" applyAlignment="1" applyFill="1" applyFont="1">
      <alignment horizontal="center" readingOrder="0" vertical="center"/>
    </xf>
    <xf borderId="0" fillId="9" fontId="20" numFmtId="1" xfId="0" applyAlignment="1" applyFill="1" applyFont="1" applyNumberFormat="1">
      <alignment horizontal="center" readingOrder="0" vertical="center"/>
    </xf>
    <xf borderId="0" fillId="0" fontId="22" numFmtId="1" xfId="0" applyAlignment="1" applyFont="1" applyNumberFormat="1">
      <alignment horizontal="center" readingOrder="0" vertical="center"/>
    </xf>
    <xf borderId="12" fillId="0" fontId="6" numFmtId="1" xfId="0" applyAlignment="1" applyBorder="1" applyFont="1" applyNumberFormat="1">
      <alignment horizontal="center" readingOrder="0" vertical="center"/>
    </xf>
    <xf borderId="6" fillId="17" fontId="17" numFmtId="0" xfId="0" applyAlignment="1" applyBorder="1" applyFill="1" applyFont="1">
      <alignment horizontal="center" readingOrder="0" vertical="center"/>
    </xf>
    <xf borderId="6" fillId="15" fontId="17" numFmtId="0" xfId="0" applyAlignment="1" applyBorder="1" applyFill="1" applyFont="1">
      <alignment horizontal="center" readingOrder="0" vertical="center"/>
    </xf>
    <xf borderId="6" fillId="10" fontId="17" numFmtId="0" xfId="0" applyAlignment="1" applyBorder="1" applyFill="1" applyFont="1">
      <alignment horizontal="center" readingOrder="0" vertical="center"/>
    </xf>
    <xf borderId="0" fillId="6" fontId="8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center" readingOrder="0" vertical="center"/>
    </xf>
    <xf borderId="14" fillId="6" fontId="1" numFmtId="0" xfId="0" applyAlignment="1" applyBorder="1" applyFill="1" applyFont="1">
      <alignment horizontal="center" readingOrder="0" vertical="center"/>
    </xf>
    <xf borderId="15" fillId="16" fontId="17" numFmtId="0" xfId="0" applyAlignment="1" applyBorder="1" applyFill="1" applyFont="1">
      <alignment horizontal="center" vertical="center"/>
    </xf>
    <xf borderId="9" fillId="17" fontId="17" numFmtId="0" xfId="0" applyAlignment="1" applyBorder="1" applyFill="1" applyFont="1">
      <alignment horizontal="center" vertical="center"/>
    </xf>
    <xf borderId="9" fillId="9" fontId="23" numFmtId="0" xfId="0" applyAlignment="1" applyBorder="1" applyFill="1" applyFont="1">
      <alignment horizontal="center" readingOrder="0" vertical="center"/>
    </xf>
    <xf borderId="0" fillId="9" fontId="17" numFmtId="0" xfId="0" applyAlignment="1" applyFill="1" applyFont="1">
      <alignment horizontal="center" vertical="center"/>
    </xf>
    <xf borderId="0" fillId="16" fontId="17" numFmtId="0" xfId="0" applyAlignment="1" applyFill="1" applyFont="1">
      <alignment horizontal="center" readingOrder="0" vertical="center"/>
    </xf>
    <xf borderId="0" fillId="9" fontId="17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6" fillId="6" fontId="8" numFmtId="3" xfId="0" applyAlignment="1" applyBorder="1" applyFill="1" applyFont="1" applyNumberFormat="1">
      <alignment horizontal="center" readingOrder="0" vertical="center"/>
    </xf>
    <xf borderId="6" fillId="6" fontId="8" numFmtId="167" xfId="0" applyAlignment="1" applyBorder="1" applyFill="1" applyFont="1" applyNumberFormat="1">
      <alignment horizontal="center" readingOrder="0" vertical="center"/>
    </xf>
    <xf borderId="6" fillId="6" fontId="8" numFmtId="0" xfId="0" applyAlignment="1" applyBorder="1" applyFill="1" applyFont="1">
      <alignment horizontal="center" readingOrder="0" vertical="center"/>
    </xf>
    <xf borderId="9" fillId="11" fontId="17" numFmtId="0" xfId="0" applyAlignment="1" applyBorder="1" applyFill="1" applyFont="1">
      <alignment horizontal="center" vertical="center"/>
    </xf>
    <xf borderId="6" fillId="15" fontId="17" numFmtId="0" xfId="0" applyAlignment="1" applyBorder="1" applyFill="1" applyFont="1">
      <alignment horizontal="center" vertical="center"/>
    </xf>
    <xf borderId="6" fillId="11" fontId="17" numFmtId="0" xfId="0" applyAlignment="1" applyBorder="1" applyFill="1" applyFont="1">
      <alignment horizontal="center" readingOrder="0" vertical="center"/>
    </xf>
    <xf borderId="6" fillId="12" fontId="17" numFmtId="0" xfId="0" applyAlignment="1" applyBorder="1" applyFill="1" applyFont="1">
      <alignment horizontal="center" readingOrder="0" vertical="center"/>
    </xf>
    <xf borderId="6" fillId="13" fontId="17" numFmtId="0" xfId="0" applyAlignment="1" applyBorder="1" applyFill="1" applyFont="1">
      <alignment horizontal="center" readingOrder="0" vertical="center"/>
    </xf>
    <xf borderId="16" fillId="9" fontId="17" numFmtId="0" xfId="0" applyAlignment="1" applyBorder="1" applyFill="1" applyFont="1">
      <alignment horizontal="center" readingOrder="0" vertical="center"/>
    </xf>
    <xf borderId="0" fillId="6" fontId="14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6" fontId="14" numFmtId="0" xfId="0" applyAlignment="1" applyFill="1" applyFont="1">
      <alignment horizontal="center" vertical="center"/>
    </xf>
    <xf borderId="0" fillId="6" fontId="14" numFmtId="2" xfId="0" applyAlignment="1" applyFill="1" applyFont="1" applyNumberFormat="1">
      <alignment horizontal="center" readingOrder="0" vertical="center"/>
    </xf>
    <xf borderId="0" fillId="6" fontId="18" numFmtId="0" xfId="0" applyAlignment="1" applyFill="1" applyFont="1">
      <alignment horizontal="center" readingOrder="0" vertical="center"/>
    </xf>
    <xf borderId="2" fillId="0" fontId="14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readingOrder="0" vertical="center"/>
    </xf>
    <xf borderId="4" fillId="6" fontId="14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7" fillId="0" fontId="14" numFmtId="0" xfId="0" applyAlignment="1" applyBorder="1" applyFont="1">
      <alignment horizontal="center" readingOrder="0" vertical="center"/>
    </xf>
    <xf borderId="8" fillId="6" fontId="14" numFmtId="0" xfId="0" applyAlignment="1" applyBorder="1" applyFill="1" applyFont="1">
      <alignment horizontal="center" readingOrder="0" vertical="center"/>
    </xf>
    <xf borderId="7" fillId="5" fontId="14" numFmtId="0" xfId="0" applyAlignment="1" applyBorder="1" applyFill="1" applyFont="1">
      <alignment horizontal="center" readingOrder="0" vertical="center"/>
    </xf>
    <xf borderId="10" fillId="5" fontId="14" numFmtId="0" xfId="0" applyAlignment="1" applyBorder="1" applyFill="1" applyFont="1">
      <alignment horizontal="center" readingOrder="0" vertical="center"/>
    </xf>
    <xf borderId="11" fillId="0" fontId="14" numFmtId="0" xfId="0" applyAlignment="1" applyBorder="1" applyFont="1">
      <alignment horizontal="center" readingOrder="0" vertical="center"/>
    </xf>
    <xf borderId="12" fillId="6" fontId="14" numFmtId="0" xfId="0" applyAlignment="1" applyBorder="1" applyFill="1" applyFont="1">
      <alignment horizontal="center" readingOrder="0" vertical="center"/>
    </xf>
    <xf borderId="0" fillId="0" fontId="18" numFmtId="2" xfId="0" applyAlignment="1" applyFont="1" applyNumberFormat="1">
      <alignment horizontal="center" readingOrder="0" vertical="center"/>
    </xf>
    <xf borderId="0" fillId="6" fontId="18" numFmtId="2" xfId="0" applyAlignment="1" applyFill="1" applyFont="1" applyNumberForma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6" fontId="24" numFmtId="0" xfId="0" applyAlignment="1" applyFill="1" applyFont="1">
      <alignment horizontal="center" readingOrder="0" vertical="center"/>
    </xf>
    <xf borderId="2" fillId="0" fontId="14" numFmtId="0" xfId="0" applyAlignment="1" applyBorder="1" applyFont="1">
      <alignment horizontal="center" vertical="center"/>
    </xf>
    <xf borderId="0" fillId="0" fontId="25" numFmtId="0" xfId="0" applyAlignment="1" applyFont="1">
      <alignment horizontal="center" readingOrder="0" vertical="center"/>
    </xf>
    <xf borderId="7" fillId="0" fontId="14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vertical="center"/>
    </xf>
    <xf borderId="0" fillId="0" fontId="26" numFmtId="0" xfId="0" applyAlignment="1" applyFont="1">
      <alignment horizontal="center" readingOrder="0" vertical="center"/>
    </xf>
    <xf borderId="2" fillId="6" fontId="14" numFmtId="0" xfId="0" applyAlignment="1" applyBorder="1" applyFill="1" applyFont="1">
      <alignment horizontal="center" readingOrder="0" vertical="center"/>
    </xf>
    <xf borderId="7" fillId="6" fontId="14" numFmtId="0" xfId="0" applyAlignment="1" applyBorder="1" applyFill="1" applyFont="1">
      <alignment horizontal="center" readingOrder="0" vertical="center"/>
    </xf>
    <xf borderId="8" fillId="6" fontId="14" numFmtId="0" xfId="0" applyAlignment="1" applyBorder="1" applyFill="1" applyFont="1">
      <alignment horizontal="center" vertical="center"/>
    </xf>
    <xf borderId="10" fillId="6" fontId="14" numFmtId="0" xfId="0" applyAlignment="1" applyBorder="1" applyFill="1" applyFont="1">
      <alignment horizontal="center" readingOrder="0" vertical="center"/>
    </xf>
    <xf borderId="11" fillId="0" fontId="14" numFmtId="0" xfId="0" applyAlignment="1" applyBorder="1" applyFont="1">
      <alignment horizontal="center" vertical="center"/>
    </xf>
    <xf borderId="12" fillId="6" fontId="14" numFmtId="0" xfId="0" applyAlignment="1" applyBorder="1" applyFill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4" fillId="6" fontId="14" numFmtId="0" xfId="0" applyAlignment="1" applyBorder="1" applyFill="1" applyFont="1">
      <alignment horizontal="center" vertical="center"/>
    </xf>
    <xf borderId="2" fillId="18" fontId="27" numFmtId="0" xfId="0" applyAlignment="1" applyBorder="1" applyFill="1" applyFont="1">
      <alignment horizontal="center" readingOrder="0" vertical="center"/>
    </xf>
    <xf borderId="3" fillId="0" fontId="16" numFmtId="0" xfId="0" applyBorder="1" applyFont="1"/>
    <xf borderId="17" fillId="6" fontId="14" numFmtId="0" xfId="0" applyAlignment="1" applyBorder="1" applyFill="1" applyFont="1">
      <alignment horizontal="center" readingOrder="0" vertical="center"/>
    </xf>
    <xf borderId="18" fillId="6" fontId="14" numFmtId="0" xfId="0" applyAlignment="1" applyBorder="1" applyFill="1" applyFont="1">
      <alignment horizontal="center" readingOrder="0" vertical="center"/>
    </xf>
    <xf borderId="18" fillId="6" fontId="14" numFmtId="2" xfId="0" applyAlignment="1" applyBorder="1" applyFill="1" applyFont="1" applyNumberFormat="1">
      <alignment horizontal="center" readingOrder="0" vertical="center"/>
    </xf>
    <xf borderId="19" fillId="6" fontId="14" numFmtId="0" xfId="0" applyAlignment="1" applyBorder="1" applyFill="1" applyFont="1">
      <alignment horizontal="center" readingOrder="0" vertical="center"/>
    </xf>
    <xf borderId="7" fillId="19" fontId="28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20" fillId="0" fontId="14" numFmtId="0" xfId="0" applyAlignment="1" applyBorder="1" applyFont="1">
      <alignment horizontal="center" readingOrder="0" vertical="center"/>
    </xf>
    <xf borderId="0" fillId="0" fontId="14" numFmtId="2" xfId="0" applyAlignment="1" applyFont="1" applyNumberFormat="1">
      <alignment horizontal="center" readingOrder="0" vertical="center"/>
    </xf>
    <xf borderId="0" fillId="15" fontId="18" numFmtId="2" xfId="0" applyAlignment="1" applyFill="1" applyFont="1" applyNumberFormat="1">
      <alignment horizontal="center" readingOrder="0" vertical="center"/>
    </xf>
    <xf borderId="0" fillId="15" fontId="18" numFmtId="168" xfId="0" applyAlignment="1" applyFill="1" applyFont="1" applyNumberFormat="1">
      <alignment horizontal="center" readingOrder="0" vertical="center"/>
    </xf>
    <xf borderId="21" fillId="15" fontId="1" numFmtId="0" xfId="0" applyBorder="1" applyFill="1" applyFont="1"/>
    <xf borderId="7" fillId="0" fontId="16" numFmtId="0" xfId="0" applyBorder="1" applyFont="1"/>
    <xf borderId="22" fillId="19" fontId="11" numFmtId="3" xfId="0" applyAlignment="1" applyBorder="1" applyFill="1" applyFont="1" applyNumberFormat="1">
      <alignment horizontal="center" readingOrder="0" vertical="center"/>
    </xf>
    <xf borderId="23" fillId="0" fontId="16" numFmtId="0" xfId="0" applyBorder="1" applyFont="1"/>
    <xf borderId="20" fillId="6" fontId="14" numFmtId="0" xfId="0" applyAlignment="1" applyBorder="1" applyFill="1" applyFont="1">
      <alignment horizontal="center" readingOrder="0" vertical="center"/>
    </xf>
    <xf borderId="21" fillId="6" fontId="14" numFmtId="0" xfId="0" applyAlignment="1" applyBorder="1" applyFill="1" applyFont="1">
      <alignment horizontal="center" readingOrder="0" vertical="center"/>
    </xf>
    <xf borderId="20" fillId="0" fontId="14" numFmtId="2" xfId="0" applyAlignment="1" applyBorder="1" applyFont="1" applyNumberFormat="1">
      <alignment horizontal="center" readingOrder="0" vertical="center"/>
    </xf>
    <xf borderId="21" fillId="15" fontId="18" numFmtId="2" xfId="0" applyAlignment="1" applyBorder="1" applyFill="1" applyFont="1" applyNumberFormat="1">
      <alignment horizontal="center" readingOrder="0" vertical="center"/>
    </xf>
    <xf borderId="0" fillId="19" fontId="8" numFmtId="0" xfId="0" applyAlignment="1" applyFill="1" applyFont="1">
      <alignment horizontal="center" readingOrder="0" vertical="center"/>
    </xf>
    <xf borderId="22" fillId="0" fontId="11" numFmtId="2" xfId="0" applyAlignment="1" applyBorder="1" applyFont="1" applyNumberFormat="1">
      <alignment horizontal="center" readingOrder="0" vertical="center"/>
    </xf>
    <xf borderId="0" fillId="0" fontId="29" numFmtId="0" xfId="0" applyFont="1"/>
    <xf borderId="20" fillId="20" fontId="14" numFmtId="0" xfId="0" applyAlignment="1" applyBorder="1" applyFill="1" applyFont="1">
      <alignment horizontal="center" readingOrder="0" vertical="center"/>
    </xf>
    <xf borderId="20" fillId="20" fontId="1" numFmtId="0" xfId="0" applyBorder="1" applyFill="1" applyFont="1"/>
    <xf borderId="0" fillId="0" fontId="14" numFmtId="1" xfId="0" applyAlignment="1" applyFont="1" applyNumberFormat="1">
      <alignment horizontal="center" readingOrder="0" vertical="center"/>
    </xf>
    <xf borderId="0" fillId="15" fontId="14" numFmtId="2" xfId="0" applyAlignment="1" applyFill="1" applyFont="1" applyNumberFormat="1">
      <alignment horizontal="center" readingOrder="0" vertical="center"/>
    </xf>
    <xf borderId="0" fillId="20" fontId="18" numFmtId="1" xfId="0" applyAlignment="1" applyFill="1" applyFont="1" applyNumberFormat="1">
      <alignment horizontal="center" readingOrder="0" vertical="center"/>
    </xf>
    <xf borderId="21" fillId="15" fontId="14" numFmtId="2" xfId="0" applyAlignment="1" applyBorder="1" applyFill="1" applyFont="1" applyNumberFormat="1">
      <alignment horizontal="center" readingOrder="0" vertical="center"/>
    </xf>
    <xf borderId="10" fillId="0" fontId="16" numFmtId="0" xfId="0" applyBorder="1" applyFont="1"/>
    <xf borderId="11" fillId="0" fontId="8" numFmtId="0" xfId="0" applyAlignment="1" applyBorder="1" applyFont="1">
      <alignment horizontal="center" readingOrder="0" vertical="center"/>
    </xf>
    <xf borderId="22" fillId="19" fontId="11" numFmtId="0" xfId="0" applyAlignment="1" applyBorder="1" applyFill="1" applyFont="1">
      <alignment horizontal="center" readingOrder="0" vertical="center"/>
    </xf>
    <xf borderId="0" fillId="15" fontId="18" numFmtId="169" xfId="0" applyAlignment="1" applyFill="1" applyFont="1" applyNumberFormat="1">
      <alignment horizontal="center" readingOrder="0" vertical="center"/>
    </xf>
    <xf borderId="0" fillId="20" fontId="18" numFmtId="2" xfId="0" applyAlignment="1" applyFill="1" applyFont="1" applyNumberFormat="1">
      <alignment horizontal="center" readingOrder="0" vertical="center"/>
    </xf>
    <xf borderId="17" fillId="6" fontId="1" numFmtId="0" xfId="0" applyBorder="1" applyFill="1" applyFont="1"/>
    <xf borderId="18" fillId="6" fontId="8" numFmtId="0" xfId="0" applyAlignment="1" applyBorder="1" applyFill="1" applyFont="1">
      <alignment horizontal="center" readingOrder="0" vertical="center"/>
    </xf>
    <xf borderId="20" fillId="0" fontId="1" numFmtId="0" xfId="0" applyBorder="1" applyFont="1"/>
    <xf borderId="19" fillId="0" fontId="16" numFmtId="0" xfId="0" applyBorder="1" applyFont="1"/>
    <xf borderId="20" fillId="6" fontId="8" numFmtId="0" xfId="0" applyAlignment="1" applyBorder="1" applyFill="1" applyFont="1">
      <alignment horizontal="center" readingOrder="0" vertical="center"/>
    </xf>
    <xf borderId="0" fillId="0" fontId="11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21" fillId="0" fontId="16" numFmtId="0" xfId="0" applyBorder="1" applyFont="1"/>
    <xf borderId="0" fillId="15" fontId="18" numFmtId="1" xfId="0" applyAlignment="1" applyFill="1" applyFont="1" applyNumberFormat="1">
      <alignment horizontal="center" readingOrder="0" vertical="center"/>
    </xf>
    <xf borderId="24" fillId="6" fontId="8" numFmtId="0" xfId="0" applyAlignment="1" applyBorder="1" applyFill="1" applyFont="1">
      <alignment horizontal="center" readingOrder="0" vertical="center"/>
    </xf>
    <xf borderId="25" fillId="0" fontId="11" numFmtId="3" xfId="0" applyAlignment="1" applyBorder="1" applyFont="1" applyNumberFormat="1">
      <alignment horizontal="center" vertical="center"/>
    </xf>
    <xf borderId="25" fillId="0" fontId="1" numFmtId="3" xfId="0" applyAlignment="1" applyBorder="1" applyFont="1" applyNumberFormat="1">
      <alignment horizontal="center" vertical="center"/>
    </xf>
    <xf borderId="26" fillId="0" fontId="16" numFmtId="0" xfId="0" applyBorder="1" applyFont="1"/>
    <xf borderId="21" fillId="6" fontId="14" numFmtId="0" xfId="0" applyAlignment="1" applyBorder="1" applyFill="1" applyFont="1">
      <alignment horizontal="center" vertical="center"/>
    </xf>
    <xf borderId="0" fillId="15" fontId="18" numFmtId="0" xfId="0" applyAlignment="1" applyFill="1" applyFont="1">
      <alignment horizontal="center" vertical="center"/>
    </xf>
    <xf borderId="21" fillId="15" fontId="14" numFmtId="0" xfId="0" applyAlignment="1" applyBorder="1" applyFill="1" applyFont="1">
      <alignment horizontal="center" vertical="center"/>
    </xf>
    <xf borderId="17" fillId="6" fontId="17" numFmtId="0" xfId="0" applyAlignment="1" applyBorder="1" applyFill="1" applyFont="1">
      <alignment horizontal="center" vertical="center"/>
    </xf>
    <xf borderId="18" fillId="6" fontId="17" numFmtId="0" xfId="0" applyAlignment="1" applyBorder="1" applyFill="1" applyFont="1">
      <alignment horizontal="center" vertical="center"/>
    </xf>
    <xf borderId="19" fillId="6" fontId="17" numFmtId="0" xfId="0" applyAlignment="1" applyBorder="1" applyFill="1" applyFont="1">
      <alignment horizontal="center" vertical="center"/>
    </xf>
    <xf borderId="20" fillId="6" fontId="17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21" fillId="0" fontId="17" numFmtId="0" xfId="0" applyAlignment="1" applyBorder="1" applyFont="1">
      <alignment horizontal="center" vertical="center"/>
    </xf>
    <xf borderId="0" fillId="0" fontId="14" numFmtId="2" xfId="0" applyAlignment="1" applyFont="1" applyNumberFormat="1">
      <alignment horizontal="center" vertical="center"/>
    </xf>
    <xf borderId="21" fillId="0" fontId="14" numFmtId="2" xfId="0" applyAlignment="1" applyBorder="1" applyFont="1" applyNumberFormat="1">
      <alignment horizontal="center" vertical="center"/>
    </xf>
    <xf borderId="24" fillId="6" fontId="17" numFmtId="0" xfId="0" applyAlignment="1" applyBorder="1" applyFill="1" applyFont="1">
      <alignment horizontal="center" vertical="center"/>
    </xf>
    <xf borderId="25" fillId="0" fontId="17" numFmtId="0" xfId="0" applyAlignment="1" applyBorder="1" applyFont="1">
      <alignment horizontal="center" vertical="center"/>
    </xf>
    <xf borderId="26" fillId="0" fontId="17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readingOrder="0" vertical="center"/>
    </xf>
    <xf borderId="25" fillId="0" fontId="14" numFmtId="2" xfId="0" applyAlignment="1" applyBorder="1" applyFont="1" applyNumberFormat="1">
      <alignment horizontal="center" vertical="center"/>
    </xf>
    <xf borderId="26" fillId="0" fontId="14" numFmtId="2" xfId="0" applyAlignment="1" applyBorder="1" applyFont="1" applyNumberFormat="1">
      <alignment horizontal="center" vertical="center"/>
    </xf>
    <xf borderId="0" fillId="4" fontId="30" numFmtId="0" xfId="0" applyAlignment="1" applyFill="1" applyFont="1">
      <alignment horizontal="center" readingOrder="0" vertical="center"/>
    </xf>
    <xf borderId="1" fillId="4" fontId="19" numFmtId="0" xfId="0" applyAlignment="1" applyBorder="1" applyFill="1" applyFont="1">
      <alignment readingOrder="0"/>
    </xf>
    <xf borderId="0" fillId="0" fontId="27" numFmtId="0" xfId="0" applyAlignment="1" applyFont="1">
      <alignment horizontal="center" readingOrder="0" vertical="center"/>
    </xf>
    <xf borderId="5" fillId="4" fontId="19" numFmtId="0" xfId="0" applyAlignment="1" applyBorder="1" applyFill="1" applyFont="1">
      <alignment readingOrder="0"/>
    </xf>
    <xf borderId="0" fillId="0" fontId="14" numFmtId="3" xfId="0" applyAlignment="1" applyFont="1" applyNumberFormat="1">
      <alignment horizontal="center" readingOrder="0" vertical="center"/>
    </xf>
    <xf borderId="13" fillId="4" fontId="19" numFmtId="0" xfId="0" applyAlignment="1" applyBorder="1" applyFill="1" applyFont="1">
      <alignment readingOrder="0"/>
    </xf>
    <xf borderId="0" fillId="7" fontId="14" numFmtId="3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7" fillId="2" fontId="31" numFmtId="0" xfId="0" applyAlignment="1" applyBorder="1" applyFill="1" applyFont="1">
      <alignment readingOrder="0"/>
    </xf>
    <xf borderId="28" fillId="0" fontId="16" numFmtId="0" xfId="0" applyBorder="1" applyFont="1"/>
    <xf borderId="29" fillId="0" fontId="16" numFmtId="0" xfId="0" applyBorder="1" applyFont="1"/>
    <xf borderId="0" fillId="0" fontId="14" numFmtId="167" xfId="0" applyFont="1" applyNumberFormat="1"/>
    <xf borderId="0" fillId="2" fontId="2" numFmtId="167" xfId="0" applyAlignment="1" applyFill="1" applyFont="1" applyNumberFormat="1">
      <alignment horizontal="left" readingOrder="0" vertical="center"/>
    </xf>
    <xf borderId="27" fillId="2" fontId="1" numFmtId="0" xfId="0" applyAlignment="1" applyBorder="1" applyFill="1" applyFont="1">
      <alignment horizontal="center" readingOrder="0" vertical="center"/>
    </xf>
    <xf borderId="28" fillId="2" fontId="1" numFmtId="0" xfId="0" applyAlignment="1" applyBorder="1" applyFill="1" applyFont="1">
      <alignment horizontal="center" readingOrder="0" vertical="center"/>
    </xf>
    <xf borderId="29" fillId="2" fontId="1" numFmtId="0" xfId="0" applyAlignment="1" applyBorder="1" applyFill="1" applyFont="1">
      <alignment horizontal="center" readingOrder="0" vertical="center"/>
    </xf>
    <xf borderId="0" fillId="2" fontId="31" numFmtId="0" xfId="0" applyAlignment="1" applyFill="1" applyFont="1">
      <alignment readingOrder="0"/>
    </xf>
    <xf borderId="30" fillId="0" fontId="16" numFmtId="0" xfId="0" applyBorder="1" applyFont="1"/>
    <xf borderId="31" fillId="2" fontId="1" numFmtId="0" xfId="0" applyAlignment="1" applyBorder="1" applyFill="1" applyFont="1">
      <alignment horizontal="center" readingOrder="0" vertical="center"/>
    </xf>
    <xf borderId="32" fillId="2" fontId="1" numFmtId="0" xfId="0" applyAlignment="1" applyBorder="1" applyFill="1" applyFont="1">
      <alignment horizontal="center" readingOrder="0" vertical="center"/>
    </xf>
    <xf borderId="31" fillId="2" fontId="1" numFmtId="0" xfId="0" applyAlignment="1" applyBorder="1" applyFill="1" applyFont="1">
      <alignment horizontal="center" vertical="center"/>
    </xf>
    <xf borderId="33" fillId="0" fontId="17" numFmtId="0" xfId="0" applyAlignment="1" applyBorder="1" applyFont="1">
      <alignment horizontal="center" readingOrder="0" vertical="center"/>
    </xf>
    <xf borderId="0" fillId="2" fontId="32" numFmtId="0" xfId="0" applyAlignment="1" applyFill="1" applyFont="1">
      <alignment horizontal="center" readingOrder="0" vertical="center"/>
    </xf>
    <xf borderId="34" fillId="2" fontId="32" numFmtId="0" xfId="0" applyAlignment="1" applyBorder="1" applyFill="1" applyFont="1">
      <alignment horizontal="center" readingOrder="0" vertical="center"/>
    </xf>
    <xf borderId="27" fillId="0" fontId="17" numFmtId="0" xfId="0" applyAlignment="1" applyBorder="1" applyFont="1">
      <alignment horizontal="center" readingOrder="0" vertical="center"/>
    </xf>
    <xf borderId="22" fillId="0" fontId="17" numFmtId="3" xfId="0" applyAlignment="1" applyBorder="1" applyFont="1" applyNumberFormat="1">
      <alignment horizontal="center" readingOrder="0" vertical="center"/>
    </xf>
    <xf borderId="35" fillId="0" fontId="16" numFmtId="0" xfId="0" applyBorder="1" applyFont="1"/>
    <xf borderId="0" fillId="6" fontId="29" numFmtId="3" xfId="0" applyAlignment="1" applyFill="1" applyFont="1" applyNumberFormat="1">
      <alignment horizontal="center" vertical="center"/>
    </xf>
    <xf borderId="6" fillId="12" fontId="17" numFmtId="0" xfId="0" applyAlignment="1" applyBorder="1" applyFill="1" applyFont="1">
      <alignment horizontal="center" vertical="center"/>
    </xf>
    <xf borderId="10" fillId="0" fontId="14" numFmtId="0" xfId="0" applyAlignment="1" applyBorder="1" applyFont="1">
      <alignment horizontal="center" readingOrder="0" vertical="center"/>
    </xf>
    <xf borderId="0" fillId="15" fontId="1" numFmtId="0" xfId="0" applyFill="1" applyFont="1"/>
    <xf borderId="22" fillId="19" fontId="11" numFmtId="3" xfId="0" applyAlignment="1" applyBorder="1" applyFill="1" applyFont="1" applyNumberFormat="1">
      <alignment horizontal="center" vertical="center"/>
    </xf>
    <xf borderId="0" fillId="0" fontId="1" numFmtId="9" xfId="0" applyAlignment="1" applyFont="1" applyNumberFormat="1">
      <alignment readingOrder="0"/>
    </xf>
    <xf borderId="0" fillId="9" fontId="9" numFmtId="3" xfId="0" applyAlignment="1" applyFill="1" applyFont="1" applyNumberFormat="1">
      <alignment horizontal="center" readingOrder="0" vertical="center"/>
    </xf>
    <xf borderId="0" fillId="0" fontId="29" numFmtId="167" xfId="0" applyFont="1" applyNumberFormat="1"/>
    <xf borderId="0" fillId="9" fontId="29" numFmtId="167" xfId="0" applyFill="1" applyFont="1" applyNumberFormat="1"/>
    <xf borderId="0" fillId="0" fontId="1" numFmtId="9" xfId="0" applyAlignment="1" applyFont="1" applyNumberFormat="1">
      <alignment horizontal="center" readingOrder="0" vertical="center"/>
    </xf>
    <xf borderId="0" fillId="15" fontId="14" numFmtId="0" xfId="0" applyAlignment="1" applyFill="1" applyFont="1">
      <alignment horizontal="center" vertical="center"/>
    </xf>
    <xf borderId="18" fillId="6" fontId="1" numFmtId="0" xfId="0" applyBorder="1" applyFill="1" applyFont="1"/>
    <xf borderId="19" fillId="6" fontId="1" numFmtId="0" xfId="0" applyBorder="1" applyFill="1" applyFont="1"/>
    <xf borderId="20" fillId="6" fontId="1" numFmtId="0" xfId="0" applyBorder="1" applyFill="1" applyFont="1"/>
    <xf borderId="21" fillId="0" fontId="14" numFmtId="0" xfId="0" applyAlignment="1" applyBorder="1" applyFont="1">
      <alignment horizontal="center" vertical="center"/>
    </xf>
    <xf borderId="24" fillId="6" fontId="1" numFmtId="0" xfId="0" applyBorder="1" applyFill="1" applyFont="1"/>
    <xf borderId="25" fillId="0" fontId="1" numFmtId="0" xfId="0" applyBorder="1" applyFont="1"/>
    <xf borderId="25" fillId="0" fontId="14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14" numFmtId="3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980000"/>
          <bgColor rgb="FF980000"/>
        </patternFill>
      </fill>
      <border/>
    </dxf>
    <dxf>
      <font>
        <b/>
        <color rgb="FFFFD966"/>
      </font>
      <fill>
        <patternFill patternType="solid">
          <fgColor rgb="FF980000"/>
          <bgColor rgb="FF980000"/>
        </patternFill>
      </fill>
      <border/>
    </dxf>
    <dxf>
      <font>
        <color rgb="FFFFD966"/>
      </font>
      <fill>
        <patternFill patternType="solid">
          <fgColor rgb="FF980000"/>
          <bgColor rgb="FF98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48400" cy="47815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2.0"/>
  </cols>
  <sheetData>
    <row r="1" ht="386.25" customHeight="1">
      <c r="A1" s="1"/>
    </row>
    <row r="2">
      <c r="A2" s="3" t="s">
        <v>1</v>
      </c>
    </row>
    <row r="3">
      <c r="A3" s="5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4" t="s">
        <v>2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>
        <v>17.0</v>
      </c>
      <c r="E47" s="75">
        <v>16.0</v>
      </c>
      <c r="F47" s="75">
        <v>16.0</v>
      </c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>
        <v>74.0</v>
      </c>
      <c r="E48" s="75">
        <v>16.0</v>
      </c>
      <c r="F48" s="75">
        <v>48.0</v>
      </c>
      <c r="G48" s="67">
        <v>610.0</v>
      </c>
      <c r="H48" s="68">
        <v>171.0</v>
      </c>
      <c r="I48" s="76"/>
      <c r="J48" s="76">
        <v>270.0</v>
      </c>
      <c r="K48" s="76"/>
      <c r="L48" s="76"/>
      <c r="M48" s="92"/>
      <c r="N48" s="50"/>
      <c r="O48" s="93"/>
      <c r="P48" s="94">
        <v>5.0</v>
      </c>
      <c r="Q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1</v>
      </c>
      <c r="F58" s="104" t="b">
        <v>0</v>
      </c>
      <c r="G58" s="105">
        <f t="shared" ref="G58:G59" si="1">if(and(E58=true,D58&gt;0),D58%,"")</f>
        <v>0.1</v>
      </c>
      <c r="H58" s="97" t="str">
        <f t="shared" ref="H58:H61" si="2">if(F58=true,G58,"")</f>
        <v/>
      </c>
      <c r="I58" s="105">
        <f t="shared" ref="I58:I59" si="3">if(and(E58=true,D58&gt;0),D58%,"")</f>
        <v>0.1</v>
      </c>
      <c r="J58" s="97" t="str">
        <f t="shared" ref="J58:J61" si="4">if(F58=true,I58,"")</f>
        <v/>
      </c>
      <c r="K58" s="105" t="s">
        <v>104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0</v>
      </c>
      <c r="F59" s="108" t="b">
        <v>0</v>
      </c>
      <c r="G59" s="105" t="str">
        <f t="shared" si="1"/>
        <v/>
      </c>
      <c r="H59" s="97" t="str">
        <f t="shared" si="2"/>
        <v/>
      </c>
      <c r="I59" s="105" t="str">
        <f t="shared" si="3"/>
        <v/>
      </c>
      <c r="J59" s="97" t="str">
        <f t="shared" si="4"/>
        <v/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0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1</v>
      </c>
      <c r="F61" s="112" t="b">
        <v>1</v>
      </c>
      <c r="G61" s="105">
        <f>if(E61=true,(if(O92&gt;400,400,O92)*D61%)%,"")</f>
        <v>0.291</v>
      </c>
      <c r="H61" s="97">
        <f t="shared" si="2"/>
        <v>0.291</v>
      </c>
      <c r="I61" s="105">
        <f>if(E61=true,(if(P92&gt;400,400,P92)*D61%)%,"")</f>
        <v>0.341</v>
      </c>
      <c r="J61" s="97">
        <f t="shared" si="4"/>
        <v>0.341</v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1.391</v>
      </c>
      <c r="H62" s="101">
        <f t="shared" si="5"/>
        <v>1.291</v>
      </c>
      <c r="I62" s="115">
        <f t="shared" si="5"/>
        <v>1.441</v>
      </c>
      <c r="J62" s="101">
        <f t="shared" si="5"/>
        <v>1.341</v>
      </c>
    </row>
    <row r="63" ht="7.5" customHeight="1">
      <c r="A63" s="54"/>
      <c r="Q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117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 ht="7.5" customHeight="1">
      <c r="A69" s="54"/>
      <c r="Q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 ht="7.5" customHeight="1">
      <c r="A75" s="54"/>
      <c r="Q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 ht="7.5" customHeight="1">
      <c r="A82" s="54"/>
      <c r="Q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2.504</v>
      </c>
      <c r="K84" s="139">
        <f>1+( (H6-10)+H33+H34+H35+H39+H47+H48+H49+H55)%</f>
        <v>5.03</v>
      </c>
      <c r="L84" s="139">
        <f>( (H6-5)+H12+H24)%</f>
        <v>1.01</v>
      </c>
      <c r="M84" s="139">
        <f>1+(H3+H9)%</f>
        <v>2.605</v>
      </c>
      <c r="N84" s="139"/>
      <c r="O84" s="140">
        <f>I84*J84*K84</f>
        <v>13.3508272</v>
      </c>
      <c r="P84" s="141">
        <f>I84*J84*(K84+L84)*M84</f>
        <v>41.76234301</v>
      </c>
      <c r="Q84" s="142"/>
    </row>
    <row r="85" ht="18.75" customHeight="1">
      <c r="B85" s="143"/>
      <c r="C85" s="137" t="s">
        <v>135</v>
      </c>
      <c r="D85" s="144">
        <v>1.07543896E8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9.935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10.485</v>
      </c>
      <c r="P86" s="140">
        <f>I86+J86</f>
        <v>10.745</v>
      </c>
      <c r="Q86" s="149">
        <f>I86+J86+K86</f>
        <v>11.295</v>
      </c>
    </row>
    <row r="87" ht="18.75" customHeight="1">
      <c r="B87" s="143"/>
      <c r="C87" s="150" t="s">
        <v>140</v>
      </c>
      <c r="D87" s="151">
        <f>if(or((D85/P95/P84-C43)/C44/2&lt;800,(D85/P95/P84-C43)/C44/2&gt;1200), "확인필요", (D85/P95/P84-C43)/C44/2)</f>
        <v>933.7466531</v>
      </c>
      <c r="E87" s="145"/>
      <c r="F87" s="152"/>
      <c r="H87" s="153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 ht="18.75" customHeight="1">
      <c r="B88" s="136">
        <v>3.0</v>
      </c>
      <c r="C88" s="137" t="s">
        <v>143</v>
      </c>
      <c r="E88" s="42"/>
      <c r="H88" s="154"/>
      <c r="I88" s="155">
        <f>F52+F38</f>
        <v>4</v>
      </c>
      <c r="J88" s="155">
        <f>F6+F18+F27+F34+F37+F39</f>
        <v>50</v>
      </c>
      <c r="K88" s="155">
        <f>F47+F48</f>
        <v>64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 ht="18.75" customHeight="1">
      <c r="B89" s="159"/>
      <c r="C89" s="160" t="s">
        <v>135</v>
      </c>
      <c r="D89" s="161">
        <v>933.75</v>
      </c>
      <c r="E89" s="145"/>
      <c r="H89" s="153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 ht="18.75" customHeight="1">
      <c r="H90" s="154"/>
      <c r="I90" s="155" t="str">
        <f>E40</f>
        <v/>
      </c>
      <c r="J90" s="155">
        <f>E6+E27+E36+E39</f>
        <v>57</v>
      </c>
      <c r="K90" s="155">
        <f>E47+E48</f>
        <v>32</v>
      </c>
      <c r="L90" s="139"/>
      <c r="M90" s="139"/>
      <c r="N90" s="139"/>
      <c r="O90" s="162">
        <f>C44 * (1-J90%-K90%) / (1 + I90% + E45)</f>
        <v>0.05330396476</v>
      </c>
      <c r="P90" s="163">
        <f>ifs(
O90&lt;0.25, 0.25,
true, O90
)
</f>
        <v>0.25</v>
      </c>
      <c r="Q90" s="149">
        <f>ifs(
C45&gt;0, P90,
P90&lt;0.5, 0.5,
true, P90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 ht="18.75" customHeight="1">
      <c r="A92" s="29"/>
      <c r="B92" s="168" t="s">
        <v>14</v>
      </c>
      <c r="C92" s="169">
        <f>(C43+2*D89*C44)*P84*P95</f>
        <v>107543896.8</v>
      </c>
      <c r="D92" s="170">
        <f>(C43+2*D89*C44)*O84*O95</f>
        <v>33098365.86</v>
      </c>
      <c r="E92" s="171"/>
      <c r="H92" s="148"/>
      <c r="I92" s="155">
        <f>D15+D21+D27+D33+D34+D39+D47+D48</f>
        <v>291</v>
      </c>
      <c r="J92" s="155">
        <f>D12</f>
        <v>50</v>
      </c>
      <c r="K92" s="155"/>
      <c r="L92" s="155"/>
      <c r="M92" s="155"/>
      <c r="N92" s="155"/>
      <c r="O92" s="172">
        <f>I92</f>
        <v>291</v>
      </c>
      <c r="P92" s="172">
        <f>I92+J92</f>
        <v>341</v>
      </c>
      <c r="Q92" s="158"/>
    </row>
    <row r="93" ht="18.75" customHeight="1">
      <c r="A93" s="29"/>
      <c r="B93" s="173" t="s">
        <v>149</v>
      </c>
      <c r="C93" s="174">
        <f>C92/P90</f>
        <v>430175587.3</v>
      </c>
      <c r="D93" s="175">
        <f>D92/P90</f>
        <v>132393463.4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 ht="18.75" customHeight="1">
      <c r="H94" s="138" t="s">
        <v>151</v>
      </c>
      <c r="I94" s="54">
        <f>G62</f>
        <v>1.391</v>
      </c>
      <c r="J94" s="54">
        <f>I62</f>
        <v>1.441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1.391</v>
      </c>
      <c r="P94" s="178">
        <f t="shared" ref="P94:P95" si="22">J94*K94*L94*M94</f>
        <v>1.441</v>
      </c>
      <c r="Q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1.291</v>
      </c>
      <c r="J95" s="54">
        <f>J62</f>
        <v>1.341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1.291</v>
      </c>
      <c r="P95" s="178">
        <f t="shared" si="22"/>
        <v>1.341</v>
      </c>
      <c r="Q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 t="shared" ref="J97:M97" si="23">1+(J18+J47+J48+$N$27)%</f>
        <v>4.63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4.63</v>
      </c>
      <c r="O97" s="187"/>
      <c r="P97" s="187"/>
      <c r="Q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 t="shared" ref="J98:M98" si="24">J97*(1+($O$46+$O$48)%)</f>
        <v>4.63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N97*(1+P48%)</f>
        <v>4.8615</v>
      </c>
      <c r="O98" s="193"/>
      <c r="P98" s="193"/>
      <c r="Q98" s="194"/>
    </row>
    <row r="99" ht="7.5" customHeight="1"/>
    <row r="100" ht="18.75" customHeight="1">
      <c r="A100" s="195" t="s">
        <v>158</v>
      </c>
      <c r="C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 ht="18.75" customHeight="1">
      <c r="A102" s="198" t="b">
        <v>0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1817800275</v>
      </c>
      <c r="F102" s="199">
        <f>$C$92*$P$86*$P$94/$P$95*I98
/
ifs(
A101=true,1000000000,
A102=true,1000000,
A103=true,1000,
true,1
)</f>
        <v>2744224678</v>
      </c>
      <c r="H102" s="199">
        <f>C92*Q86*P94/P95*J98
/
ifs(
A101=true,1000000000,
A102=true,1000000,
A103=true,1000,
true,1
)</f>
        <v>6043495432</v>
      </c>
      <c r="J102" s="199">
        <f>$C$92*$P$86*$P$94/$P$95*K98
/
ifs(
A101=true,1000000000,
A102=true,1000000,
A103=true,1000,
true,1
)</f>
        <v>1800509404</v>
      </c>
      <c r="L102" s="199">
        <f>$C$92*$P$86*$P$94/$P$95*L98
/
ifs(
A101=true,1000000000,
A102=true,1000000,
A103=true,1000,
true,1
)</f>
        <v>1800509404</v>
      </c>
      <c r="N102" s="199">
        <f>$C$92*$P$86*$P$94/$P$95*M98
/
ifs(
A101=true,1000000000,
A102=true,1000000,
A103=true,1000,
true,1
)</f>
        <v>1800509404</v>
      </c>
      <c r="P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173371509.3</v>
      </c>
      <c r="F103" s="199">
        <f>$C$92*$P$94/$P$95*I98
/
ifs(
A101=true,1000000000,
A102=true,1000000,
A103=true,1000,
true,1
)</f>
        <v>255395502.8</v>
      </c>
      <c r="H103" s="199">
        <f>$C$92*$P$94/$P$95*J98
/
ifs(
A101=true,1000000000,
A102=true,1000000,
A103=true,1000,
true,1
)</f>
        <v>535059356.6</v>
      </c>
      <c r="J103" s="199">
        <f>$C$92*$P$94/$P$95*K98
/
ifs(
A101=true,1000000000,
A102=true,1000000,
A103=true,1000,
true,1
)</f>
        <v>167567185.1</v>
      </c>
      <c r="L103" s="199">
        <f>$C$92*$P$94/$P$95*L98
/
ifs(
A101=true,1000000000,
A102=true,1000000,
A103=true,1000,
true,1
)</f>
        <v>167567185.1</v>
      </c>
      <c r="N103" s="199">
        <f>$C$92*$P$94/$P$95*M98
/
ifs(
A101=true,1000000000,
A102=true,1000000,
A103=true,1000,
true,1
)</f>
        <v>167567185.1</v>
      </c>
      <c r="P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7964687137</v>
      </c>
      <c r="F104" s="201">
        <f>$C$93*(1+$P$88%*$P$86)*$P$94/$P$95*I98
/
ifs(
A101=true,1000000000,
A102=true,1000000,
A103=true,1000,
true,1
)</f>
        <v>11998480722</v>
      </c>
      <c r="H104" s="201">
        <f>$C$93*(1+$P$88%*Q86)*$P$94/$P$95*J98
/
ifs(
A101=true,1000000000,
A102=true,1000000,
A103=true,1000,
true,1
)</f>
        <v>26314219156</v>
      </c>
      <c r="J104" s="201">
        <f>$C$93*(1+$P$88%*$P$86)*$P$94/$P$95*K98
/
ifs(
A101=true,1000000000,
A102=true,1000000,
A103=true,1000,
true,1
)</f>
        <v>7872306356</v>
      </c>
      <c r="L104" s="201">
        <f>$C$93*(1+$P$88%*$P$86)*$P$94/$P$95*L98
/
ifs(
A101=true,1000000000,
A102=true,1000000,
A103=true,1000,
true,1
)</f>
        <v>7872306356</v>
      </c>
      <c r="N104" s="201">
        <f>$C$93*(1+$P$88%*$P$86)*$P$94/$P$95*M98
/
ifs(
A101=true,1000000000,
A102=true,1000000,
A103=true,1000,
true,1
)</f>
        <v>7872306356</v>
      </c>
      <c r="P104" s="54"/>
    </row>
  </sheetData>
  <mergeCells count="95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N104:O104"/>
    <mergeCell ref="P104:Q104"/>
    <mergeCell ref="F103:G103"/>
    <mergeCell ref="H103:I103"/>
    <mergeCell ref="J103:K103"/>
    <mergeCell ref="L103:M103"/>
    <mergeCell ref="N103:O103"/>
    <mergeCell ref="P103:Q103"/>
    <mergeCell ref="A104:B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 paperHeight="27.559055118110233in" paperWidth="11.811023622047244i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4.88"/>
    <col customWidth="1" min="5" max="5" width="2.38"/>
    <col customWidth="1" min="6" max="7" width="4.88"/>
    <col customWidth="1" min="8" max="8" width="7.5"/>
    <col customWidth="1" min="9" max="9" width="2.38"/>
    <col customWidth="1" min="10" max="19" width="4.88"/>
  </cols>
  <sheetData>
    <row r="1">
      <c r="A1" s="2" t="s">
        <v>0</v>
      </c>
      <c r="E1" s="6"/>
      <c r="F1" s="2" t="s">
        <v>5</v>
      </c>
      <c r="I1" s="6"/>
      <c r="J1" s="2" t="s">
        <v>6</v>
      </c>
      <c r="N1" s="6"/>
      <c r="O1" s="2" t="s">
        <v>8</v>
      </c>
    </row>
    <row r="2">
      <c r="A2" s="9" t="s">
        <v>9</v>
      </c>
      <c r="E2" s="6"/>
      <c r="F2" s="9" t="s">
        <v>11</v>
      </c>
      <c r="G2" s="12">
        <v>6.0</v>
      </c>
      <c r="H2" s="9" t="s">
        <v>15</v>
      </c>
      <c r="I2" s="6"/>
      <c r="J2" s="15" t="s">
        <v>17</v>
      </c>
      <c r="L2" s="20">
        <f>L4*L8</f>
        <v>30030701.31</v>
      </c>
      <c r="N2" s="6"/>
      <c r="O2" s="22"/>
      <c r="P2" s="24"/>
      <c r="Q2" s="24"/>
      <c r="R2" s="24"/>
      <c r="S2" s="26"/>
    </row>
    <row r="3">
      <c r="A3" s="22" t="b">
        <v>0</v>
      </c>
      <c r="B3" s="24" t="s">
        <v>28</v>
      </c>
      <c r="C3" s="30"/>
      <c r="D3" s="32"/>
      <c r="E3" s="6"/>
      <c r="F3" s="33" t="s">
        <v>30</v>
      </c>
      <c r="G3" s="34">
        <v>15.0</v>
      </c>
      <c r="H3" s="33" t="s">
        <v>15</v>
      </c>
      <c r="I3" s="6"/>
      <c r="J3" s="6" t="s">
        <v>32</v>
      </c>
      <c r="L3" s="37">
        <v>2000.0</v>
      </c>
      <c r="N3" s="6"/>
      <c r="O3" s="39"/>
      <c r="P3" s="6"/>
      <c r="Q3" s="6"/>
      <c r="R3" s="6"/>
      <c r="S3" s="41"/>
    </row>
    <row r="4">
      <c r="A4" s="39" t="b">
        <v>0</v>
      </c>
      <c r="B4" s="6" t="s">
        <v>33</v>
      </c>
      <c r="C4" s="37"/>
      <c r="D4" s="42"/>
      <c r="E4" s="6"/>
      <c r="F4" s="33" t="s">
        <v>5</v>
      </c>
      <c r="G4" s="34">
        <v>20.0</v>
      </c>
      <c r="H4" s="33" t="s">
        <v>34</v>
      </c>
      <c r="I4" s="6"/>
      <c r="J4" s="6" t="s">
        <v>35</v>
      </c>
      <c r="L4" s="37">
        <f>sumif(A3:A17,true,C3:C17)+L3</f>
        <v>3957099</v>
      </c>
      <c r="N4" s="6"/>
      <c r="O4" s="39"/>
      <c r="P4" s="6"/>
      <c r="Q4" s="6"/>
      <c r="R4" s="6"/>
      <c r="S4" s="41"/>
    </row>
    <row r="5">
      <c r="A5" s="44" t="b">
        <v>1</v>
      </c>
      <c r="B5" s="46" t="s">
        <v>36</v>
      </c>
      <c r="C5" s="48">
        <v>1248864.0</v>
      </c>
      <c r="D5" s="49"/>
      <c r="E5" s="6"/>
      <c r="F5" s="33" t="s">
        <v>37</v>
      </c>
      <c r="G5" s="34">
        <v>8.0</v>
      </c>
      <c r="H5" s="33" t="s">
        <v>38</v>
      </c>
      <c r="I5" s="6"/>
      <c r="J5" s="33" t="s">
        <v>39</v>
      </c>
      <c r="L5" s="55">
        <f>G2</f>
        <v>6</v>
      </c>
      <c r="M5" s="56">
        <f t="shared" ref="M5:M7" si="1">1+L5%</f>
        <v>1.06</v>
      </c>
      <c r="N5" s="6"/>
      <c r="O5" s="39"/>
      <c r="P5" s="6"/>
      <c r="Q5" s="6"/>
      <c r="R5" s="6"/>
      <c r="S5" s="41"/>
    </row>
    <row r="6">
      <c r="A6" s="9" t="s">
        <v>41</v>
      </c>
      <c r="E6" s="6"/>
      <c r="F6" s="33" t="s">
        <v>43</v>
      </c>
      <c r="G6" s="34">
        <v>65.0</v>
      </c>
      <c r="H6" s="33" t="s">
        <v>15</v>
      </c>
      <c r="I6" s="6"/>
      <c r="J6" s="33" t="s">
        <v>45</v>
      </c>
      <c r="L6" s="55">
        <f>sum(G3:G12)</f>
        <v>233</v>
      </c>
      <c r="M6" s="56">
        <f t="shared" si="1"/>
        <v>3.33</v>
      </c>
      <c r="N6" s="6"/>
      <c r="O6" s="39"/>
      <c r="P6" s="6"/>
      <c r="Q6" s="6"/>
      <c r="R6" s="6"/>
      <c r="S6" s="41"/>
    </row>
    <row r="7">
      <c r="A7" s="22" t="b">
        <v>0</v>
      </c>
      <c r="B7" s="24" t="s">
        <v>46</v>
      </c>
      <c r="C7" s="30"/>
      <c r="D7" s="32"/>
      <c r="E7" s="6"/>
      <c r="F7" s="33" t="s">
        <v>48</v>
      </c>
      <c r="G7" s="34">
        <v>76.0</v>
      </c>
      <c r="H7" s="33" t="s">
        <v>15</v>
      </c>
      <c r="I7" s="6"/>
      <c r="J7" s="33" t="s">
        <v>49</v>
      </c>
      <c r="L7" s="55">
        <f>G13</f>
        <v>115</v>
      </c>
      <c r="M7" s="56">
        <f t="shared" si="1"/>
        <v>2.15</v>
      </c>
      <c r="N7" s="6"/>
      <c r="O7" s="39"/>
      <c r="P7" s="6"/>
      <c r="Q7" s="6"/>
      <c r="R7" s="6"/>
      <c r="S7" s="41"/>
    </row>
    <row r="8">
      <c r="A8" s="39" t="b">
        <v>0</v>
      </c>
      <c r="B8" s="6" t="s">
        <v>51</v>
      </c>
      <c r="C8" s="37"/>
      <c r="D8" s="42"/>
      <c r="E8" s="6"/>
      <c r="F8" s="33" t="s">
        <v>52</v>
      </c>
      <c r="G8" s="34">
        <v>10.0</v>
      </c>
      <c r="H8" s="33" t="s">
        <v>15</v>
      </c>
      <c r="I8" s="6"/>
      <c r="J8" s="60" t="s">
        <v>53</v>
      </c>
      <c r="L8" s="61">
        <f>M5*M6*M7</f>
        <v>7.58907</v>
      </c>
      <c r="N8" s="6"/>
      <c r="O8" s="39"/>
      <c r="P8" s="6"/>
      <c r="Q8" s="6"/>
      <c r="R8" s="6"/>
      <c r="S8" s="41"/>
    </row>
    <row r="9">
      <c r="A9" s="44" t="b">
        <v>1</v>
      </c>
      <c r="B9" s="46" t="s">
        <v>36</v>
      </c>
      <c r="C9" s="48">
        <v>1078178.0</v>
      </c>
      <c r="D9" s="49"/>
      <c r="E9" s="6"/>
      <c r="F9" s="33" t="s">
        <v>54</v>
      </c>
      <c r="G9" s="34">
        <v>24.0</v>
      </c>
      <c r="H9" s="33" t="s">
        <v>15</v>
      </c>
      <c r="I9" s="6"/>
      <c r="J9" s="6"/>
      <c r="L9" s="37"/>
      <c r="N9" s="6"/>
      <c r="O9" s="39"/>
      <c r="P9" s="6"/>
      <c r="Q9" s="6"/>
      <c r="R9" s="6"/>
      <c r="S9" s="41"/>
    </row>
    <row r="10">
      <c r="A10" s="9" t="s">
        <v>55</v>
      </c>
      <c r="E10" s="6"/>
      <c r="F10" s="33" t="s">
        <v>56</v>
      </c>
      <c r="G10" s="34">
        <v>15.0</v>
      </c>
      <c r="H10" s="33" t="s">
        <v>15</v>
      </c>
      <c r="I10" s="6"/>
      <c r="J10" s="6"/>
      <c r="L10" s="37"/>
      <c r="N10" s="6"/>
      <c r="O10" s="39"/>
      <c r="P10" s="6"/>
      <c r="Q10" s="6"/>
      <c r="R10" s="6"/>
      <c r="S10" s="41"/>
    </row>
    <row r="11">
      <c r="A11" s="22" t="b">
        <v>0</v>
      </c>
      <c r="B11" s="24"/>
      <c r="C11" s="30"/>
      <c r="D11" s="32"/>
      <c r="E11" s="6"/>
      <c r="F11" s="33" t="s">
        <v>57</v>
      </c>
      <c r="G11" s="34">
        <v>0.0</v>
      </c>
      <c r="H11" s="33" t="s">
        <v>15</v>
      </c>
      <c r="I11" s="6"/>
      <c r="J11" s="6"/>
      <c r="L11" s="37"/>
      <c r="N11" s="6"/>
      <c r="O11" s="39"/>
      <c r="P11" s="6"/>
      <c r="Q11" s="6"/>
      <c r="R11" s="6"/>
      <c r="S11" s="41"/>
    </row>
    <row r="12">
      <c r="A12" s="39" t="b">
        <v>0</v>
      </c>
      <c r="B12" s="6" t="s">
        <v>58</v>
      </c>
      <c r="C12" s="37"/>
      <c r="D12" s="42"/>
      <c r="E12" s="6"/>
      <c r="F12" s="33" t="s">
        <v>0</v>
      </c>
      <c r="G12" s="63">
        <v>0.0</v>
      </c>
      <c r="H12" s="33" t="s">
        <v>59</v>
      </c>
      <c r="I12" s="6"/>
      <c r="J12" s="6"/>
      <c r="L12" s="37"/>
      <c r="N12" s="6"/>
      <c r="O12" s="39"/>
      <c r="P12" s="6"/>
      <c r="Q12" s="6"/>
      <c r="R12" s="6"/>
      <c r="S12" s="41"/>
    </row>
    <row r="13">
      <c r="A13" s="44" t="b">
        <v>1</v>
      </c>
      <c r="B13" s="46" t="s">
        <v>36</v>
      </c>
      <c r="C13" s="48">
        <v>920206.0</v>
      </c>
      <c r="D13" s="49"/>
      <c r="E13" s="6"/>
      <c r="F13" s="9" t="s">
        <v>60</v>
      </c>
      <c r="G13" s="9">
        <f>(H13-125)*0.5</f>
        <v>115</v>
      </c>
      <c r="H13" s="65">
        <v>355.0</v>
      </c>
      <c r="I13" s="6"/>
      <c r="J13" s="6"/>
      <c r="L13" s="37"/>
      <c r="N13" s="6"/>
      <c r="O13" s="39"/>
      <c r="P13" s="6"/>
      <c r="Q13" s="6"/>
      <c r="R13" s="6"/>
      <c r="S13" s="41"/>
    </row>
    <row r="14">
      <c r="A14" s="9" t="s">
        <v>61</v>
      </c>
      <c r="E14" s="6"/>
      <c r="I14" s="6"/>
      <c r="J14" s="6"/>
      <c r="L14" s="37"/>
      <c r="N14" s="6"/>
      <c r="O14" s="39"/>
      <c r="P14" s="6"/>
      <c r="Q14" s="6"/>
      <c r="R14" s="6"/>
      <c r="S14" s="41"/>
    </row>
    <row r="15">
      <c r="A15" s="22" t="b">
        <v>0</v>
      </c>
      <c r="B15" s="24" t="s">
        <v>62</v>
      </c>
      <c r="C15" s="30"/>
      <c r="D15" s="32"/>
      <c r="E15" s="6"/>
      <c r="F15" s="6"/>
      <c r="G15" s="6"/>
      <c r="H15" s="6"/>
      <c r="I15" s="6"/>
      <c r="J15" s="6"/>
      <c r="L15" s="37"/>
      <c r="N15" s="6"/>
      <c r="O15" s="39"/>
      <c r="P15" s="6"/>
      <c r="Q15" s="6"/>
      <c r="R15" s="6"/>
      <c r="S15" s="41"/>
    </row>
    <row r="16">
      <c r="A16" s="39" t="b">
        <v>0</v>
      </c>
      <c r="B16" s="6" t="s">
        <v>65</v>
      </c>
      <c r="C16" s="37"/>
      <c r="D16" s="42"/>
      <c r="E16" s="6"/>
      <c r="F16" s="6"/>
      <c r="G16" s="6"/>
      <c r="H16" s="6"/>
      <c r="I16" s="6"/>
      <c r="J16" s="6"/>
      <c r="L16" s="37"/>
      <c r="N16" s="6"/>
      <c r="O16" s="39"/>
      <c r="P16" s="6"/>
      <c r="Q16" s="6"/>
      <c r="R16" s="6"/>
      <c r="S16" s="41"/>
    </row>
    <row r="17">
      <c r="A17" s="44" t="b">
        <v>1</v>
      </c>
      <c r="B17" s="46" t="s">
        <v>36</v>
      </c>
      <c r="C17" s="48">
        <v>707851.0</v>
      </c>
      <c r="D17" s="49"/>
      <c r="E17" s="6"/>
      <c r="F17" s="6"/>
      <c r="G17" s="6"/>
      <c r="H17" s="6"/>
      <c r="I17" s="6"/>
      <c r="J17" s="6"/>
      <c r="L17" s="37"/>
      <c r="N17" s="6"/>
      <c r="O17" s="39"/>
      <c r="P17" s="6"/>
      <c r="Q17" s="6"/>
      <c r="R17" s="6"/>
      <c r="S17" s="41"/>
    </row>
    <row r="18">
      <c r="A18" s="72" t="s">
        <v>66</v>
      </c>
      <c r="E18" s="73" t="s">
        <v>67</v>
      </c>
      <c r="O18" s="39"/>
      <c r="P18" s="6"/>
      <c r="Q18" s="6"/>
      <c r="R18" s="6"/>
      <c r="S18" s="41"/>
    </row>
    <row r="19">
      <c r="O19" s="44"/>
      <c r="P19" s="46"/>
      <c r="Q19" s="46"/>
      <c r="R19" s="46"/>
      <c r="S19" s="74"/>
    </row>
  </sheetData>
  <mergeCells count="51">
    <mergeCell ref="A1:D1"/>
    <mergeCell ref="F1:H1"/>
    <mergeCell ref="J1:M1"/>
    <mergeCell ref="O1:S1"/>
    <mergeCell ref="A2:D2"/>
    <mergeCell ref="L2:M2"/>
    <mergeCell ref="L3:M3"/>
    <mergeCell ref="J2:K2"/>
    <mergeCell ref="J3:K3"/>
    <mergeCell ref="J4:K4"/>
    <mergeCell ref="L4:M4"/>
    <mergeCell ref="J5:K5"/>
    <mergeCell ref="J6:K6"/>
    <mergeCell ref="J7:K7"/>
    <mergeCell ref="C3:D3"/>
    <mergeCell ref="C4:D4"/>
    <mergeCell ref="C5:D5"/>
    <mergeCell ref="A6:D6"/>
    <mergeCell ref="C7:D7"/>
    <mergeCell ref="C8:D8"/>
    <mergeCell ref="C9:D9"/>
    <mergeCell ref="J11:K11"/>
    <mergeCell ref="J12:K12"/>
    <mergeCell ref="J13:K13"/>
    <mergeCell ref="J14:K14"/>
    <mergeCell ref="J15:K15"/>
    <mergeCell ref="J16:K16"/>
    <mergeCell ref="J17:K17"/>
    <mergeCell ref="L12:M12"/>
    <mergeCell ref="L13:M13"/>
    <mergeCell ref="L14:M14"/>
    <mergeCell ref="L15:M15"/>
    <mergeCell ref="L16:M16"/>
    <mergeCell ref="L17:M17"/>
    <mergeCell ref="J8:K8"/>
    <mergeCell ref="L8:M8"/>
    <mergeCell ref="J9:K9"/>
    <mergeCell ref="L9:M9"/>
    <mergeCell ref="J10:K10"/>
    <mergeCell ref="L10:M10"/>
    <mergeCell ref="L11:M11"/>
    <mergeCell ref="C17:D17"/>
    <mergeCell ref="A18:D19"/>
    <mergeCell ref="E18:N19"/>
    <mergeCell ref="A10:D10"/>
    <mergeCell ref="C11:D11"/>
    <mergeCell ref="C12:D12"/>
    <mergeCell ref="C13:D13"/>
    <mergeCell ref="A14:D14"/>
    <mergeCell ref="C15:D15"/>
    <mergeCell ref="C16:D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  <col customWidth="1" min="18" max="18" width="2.0"/>
    <col customWidth="1" min="19" max="19" width="4.38"/>
    <col customWidth="1" min="20" max="20" width="6.0"/>
    <col customWidth="1" min="21" max="21" width="17.38"/>
    <col customWidth="1" min="22" max="35" width="5.5"/>
  </cols>
  <sheetData>
    <row r="1" ht="21.75" customHeight="1">
      <c r="A1" s="4" t="s">
        <v>2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  <c r="R1" s="28"/>
      <c r="S1" s="4"/>
      <c r="T1" s="7" t="s">
        <v>4</v>
      </c>
      <c r="V1" s="8" t="s">
        <v>7</v>
      </c>
      <c r="W1" s="10" t="s">
        <v>10</v>
      </c>
      <c r="X1" s="10" t="s">
        <v>12</v>
      </c>
      <c r="Y1" s="11" t="s">
        <v>13</v>
      </c>
      <c r="Z1" s="13" t="s">
        <v>14</v>
      </c>
      <c r="AA1" s="14" t="s">
        <v>16</v>
      </c>
      <c r="AB1" s="14" t="s">
        <v>18</v>
      </c>
      <c r="AC1" s="14" t="s">
        <v>19</v>
      </c>
      <c r="AD1" s="14" t="s">
        <v>20</v>
      </c>
      <c r="AE1" s="14" t="s">
        <v>21</v>
      </c>
      <c r="AF1" s="16" t="s">
        <v>22</v>
      </c>
      <c r="AG1" s="17" t="s">
        <v>23</v>
      </c>
      <c r="AH1" s="18" t="s">
        <v>24</v>
      </c>
      <c r="AI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  <c r="R2" s="28"/>
      <c r="S2" s="21" t="s">
        <v>26</v>
      </c>
      <c r="T2" s="23" t="s">
        <v>27</v>
      </c>
      <c r="V2" s="25"/>
      <c r="W2" s="25"/>
      <c r="X2" s="25"/>
      <c r="Y2" s="25"/>
      <c r="Z2" s="27"/>
      <c r="AA2" s="27"/>
      <c r="AB2" s="25"/>
      <c r="AC2" s="25"/>
      <c r="AD2" s="25"/>
      <c r="AE2" s="25"/>
      <c r="AF2" s="25"/>
      <c r="AG2" s="25"/>
      <c r="AH2" s="25"/>
      <c r="AI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  <c r="S3" s="29"/>
      <c r="T3" s="31" t="s">
        <v>29</v>
      </c>
      <c r="U3" s="35" t="s">
        <v>31</v>
      </c>
      <c r="V3" s="36"/>
      <c r="W3" s="38"/>
      <c r="X3" s="38"/>
      <c r="Y3" s="40"/>
      <c r="Z3" s="43">
        <f>ifs(
U3="1~3", 16,
U3="4~10", 12,
U3="11~20", 8,
true, 0
)</f>
        <v>16</v>
      </c>
      <c r="AA3" s="45">
        <f>ifs(
U3="1~3", 10,
U3="4~10", 5,
true, 0
)</f>
        <v>10</v>
      </c>
      <c r="AB3" s="47"/>
      <c r="AC3" s="47"/>
      <c r="AD3" s="47"/>
      <c r="AE3" s="47"/>
      <c r="AF3" s="50"/>
      <c r="AG3" s="51"/>
      <c r="AH3" s="52"/>
      <c r="AI3" s="53"/>
    </row>
    <row r="4" ht="7.5" customHeight="1">
      <c r="A4" s="54"/>
      <c r="Q4" s="54"/>
      <c r="S4" s="54"/>
      <c r="AI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  <c r="S5" s="21" t="s">
        <v>26</v>
      </c>
      <c r="T5" s="31" t="s">
        <v>40</v>
      </c>
      <c r="V5" s="25"/>
      <c r="W5" s="25"/>
      <c r="X5" s="25"/>
      <c r="Y5" s="25"/>
      <c r="Z5" s="27"/>
      <c r="AA5" s="27"/>
      <c r="AB5" s="25"/>
      <c r="AC5" s="25"/>
      <c r="AD5" s="25"/>
      <c r="AE5" s="25"/>
      <c r="AF5" s="25"/>
      <c r="AG5" s="25"/>
      <c r="AH5" s="25"/>
      <c r="AI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  <c r="S6" s="29"/>
      <c r="T6" s="31" t="s">
        <v>42</v>
      </c>
      <c r="U6" s="57" t="s">
        <v>44</v>
      </c>
      <c r="V6" s="36"/>
      <c r="W6" s="58">
        <v>5.0</v>
      </c>
      <c r="X6" s="58">
        <v>5.0</v>
      </c>
      <c r="Y6" s="40"/>
      <c r="Z6" s="43">
        <v>15.0</v>
      </c>
      <c r="AA6" s="47"/>
      <c r="AB6" s="47"/>
      <c r="AC6" s="47"/>
      <c r="AD6" s="47"/>
      <c r="AE6" s="47"/>
      <c r="AF6" s="50"/>
      <c r="AG6" s="51"/>
      <c r="AH6" s="52"/>
      <c r="AI6" s="53"/>
    </row>
    <row r="7" ht="7.5" customHeight="1">
      <c r="A7" s="54"/>
      <c r="Q7" s="54"/>
      <c r="S7" s="54"/>
      <c r="AI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  <c r="S8" s="21" t="s">
        <v>26</v>
      </c>
      <c r="T8" s="23" t="s">
        <v>47</v>
      </c>
      <c r="V8" s="25"/>
      <c r="W8" s="25"/>
      <c r="X8" s="25"/>
      <c r="Y8" s="25"/>
      <c r="Z8" s="27"/>
      <c r="AA8" s="25"/>
      <c r="AB8" s="25"/>
      <c r="AC8" s="25"/>
      <c r="AD8" s="25"/>
      <c r="AE8" s="25"/>
      <c r="AF8" s="25"/>
      <c r="AG8" s="25"/>
      <c r="AH8" s="25"/>
      <c r="AI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  <c r="S9" s="59"/>
      <c r="T9" s="31" t="s">
        <v>50</v>
      </c>
      <c r="U9" s="35">
        <v>414.0</v>
      </c>
      <c r="V9" s="36"/>
      <c r="W9" s="38"/>
      <c r="X9" s="38"/>
      <c r="Y9" s="40"/>
      <c r="Z9" s="62">
        <f>(U9-125)*0.5</f>
        <v>144.5</v>
      </c>
      <c r="AA9" s="47"/>
      <c r="AB9" s="47"/>
      <c r="AC9" s="47"/>
      <c r="AD9" s="47"/>
      <c r="AE9" s="47"/>
      <c r="AF9" s="50"/>
      <c r="AG9" s="51"/>
      <c r="AH9" s="52"/>
      <c r="AI9" s="53"/>
    </row>
    <row r="10" ht="7.5" customHeight="1">
      <c r="A10" s="54"/>
      <c r="Q10" s="54"/>
      <c r="S10" s="54"/>
      <c r="AI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  <c r="S11" s="21" t="s">
        <v>26</v>
      </c>
      <c r="T11" s="23" t="s">
        <v>43</v>
      </c>
      <c r="V11" s="25"/>
      <c r="W11" s="25"/>
      <c r="X11" s="25"/>
      <c r="Y11" s="25"/>
      <c r="Z11" s="27"/>
      <c r="AA11" s="27"/>
      <c r="AB11" s="25"/>
      <c r="AC11" s="25"/>
      <c r="AD11" s="25"/>
      <c r="AE11" s="25"/>
      <c r="AF11" s="25"/>
      <c r="AG11" s="25"/>
      <c r="AH11" s="25"/>
      <c r="AI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  <c r="S12" s="29"/>
      <c r="V12" s="64">
        <v>50.0</v>
      </c>
      <c r="W12" s="66"/>
      <c r="X12" s="38"/>
      <c r="Y12" s="67">
        <v>65.0</v>
      </c>
      <c r="Z12" s="68">
        <v>65.0</v>
      </c>
      <c r="AA12" s="47"/>
      <c r="AB12" s="47"/>
      <c r="AC12" s="47"/>
      <c r="AD12" s="47"/>
      <c r="AE12" s="47"/>
      <c r="AF12" s="50"/>
      <c r="AG12" s="51"/>
      <c r="AH12" s="52"/>
      <c r="AI12" s="53"/>
    </row>
    <row r="13" ht="7.5" customHeight="1">
      <c r="A13" s="54"/>
      <c r="Q13" s="54"/>
      <c r="S13" s="54"/>
      <c r="AI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  <c r="S14" s="69" t="s">
        <v>63</v>
      </c>
      <c r="T14" s="14" t="s">
        <v>64</v>
      </c>
      <c r="V14" s="70"/>
      <c r="W14" s="70"/>
      <c r="X14" s="70"/>
      <c r="Y14" s="70"/>
      <c r="Z14" s="71"/>
      <c r="AA14" s="71"/>
      <c r="AB14" s="70"/>
      <c r="AC14" s="70"/>
      <c r="AD14" s="70"/>
      <c r="AE14" s="70"/>
      <c r="AF14" s="70"/>
      <c r="AG14" s="70"/>
      <c r="AH14" s="70"/>
      <c r="AI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  <c r="S15" s="29"/>
      <c r="V15" s="64">
        <v>60.0</v>
      </c>
      <c r="W15" s="38"/>
      <c r="X15" s="38"/>
      <c r="Y15" s="40"/>
      <c r="Z15" s="68">
        <v>6.0</v>
      </c>
      <c r="AA15" s="47"/>
      <c r="AB15" s="47"/>
      <c r="AC15" s="47"/>
      <c r="AD15" s="47"/>
      <c r="AE15" s="47"/>
      <c r="AF15" s="50"/>
      <c r="AG15" s="51"/>
      <c r="AH15" s="52"/>
      <c r="AI15" s="53"/>
    </row>
    <row r="16" ht="7.5" customHeight="1">
      <c r="A16" s="54"/>
      <c r="Q16" s="54"/>
      <c r="S16" s="54"/>
      <c r="AI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  <c r="S17" s="21" t="s">
        <v>26</v>
      </c>
      <c r="T17" s="31" t="s">
        <v>48</v>
      </c>
      <c r="V17" s="25"/>
      <c r="W17" s="25"/>
      <c r="X17" s="25"/>
      <c r="Y17" s="25"/>
      <c r="Z17" s="27"/>
      <c r="AA17" s="27"/>
      <c r="AB17" s="25"/>
      <c r="AC17" s="25"/>
      <c r="AD17" s="25"/>
      <c r="AE17" s="25"/>
      <c r="AF17" s="25"/>
      <c r="AG17" s="25"/>
      <c r="AH17" s="25"/>
      <c r="AI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  <c r="S18" s="59"/>
      <c r="V18" s="36"/>
      <c r="W18" s="38"/>
      <c r="X18" s="75">
        <v>17.0</v>
      </c>
      <c r="Y18" s="67">
        <v>130.5</v>
      </c>
      <c r="Z18" s="68">
        <v>110.4</v>
      </c>
      <c r="AA18" s="76">
        <v>71.0</v>
      </c>
      <c r="AB18" s="76">
        <v>15.0</v>
      </c>
      <c r="AC18" s="76">
        <v>5.0</v>
      </c>
      <c r="AD18" s="76">
        <v>5.0</v>
      </c>
      <c r="AE18" s="76">
        <v>5.0</v>
      </c>
      <c r="AF18" s="50"/>
      <c r="AG18" s="51"/>
      <c r="AH18" s="52"/>
      <c r="AI18" s="53"/>
    </row>
    <row r="19" ht="7.5" customHeight="1">
      <c r="A19" s="54"/>
      <c r="Q19" s="54"/>
      <c r="S19" s="54"/>
      <c r="AI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  <c r="S20" s="69" t="s">
        <v>63</v>
      </c>
      <c r="T20" s="14" t="s">
        <v>68</v>
      </c>
      <c r="V20" s="70"/>
      <c r="W20" s="70"/>
      <c r="X20" s="70"/>
      <c r="Y20" s="70"/>
      <c r="Z20" s="71"/>
      <c r="AA20" s="71"/>
      <c r="AB20" s="70"/>
      <c r="AC20" s="70"/>
      <c r="AD20" s="70"/>
      <c r="AE20" s="70"/>
      <c r="AF20" s="70"/>
      <c r="AG20" s="70"/>
      <c r="AH20" s="70"/>
      <c r="AI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  <c r="S21" s="59"/>
      <c r="V21" s="64">
        <v>20.0</v>
      </c>
      <c r="W21" s="38"/>
      <c r="X21" s="38"/>
      <c r="Y21" s="40"/>
      <c r="Z21" s="68">
        <v>16.0</v>
      </c>
      <c r="AA21" s="47"/>
      <c r="AB21" s="47"/>
      <c r="AC21" s="47"/>
      <c r="AD21" s="47"/>
      <c r="AE21" s="47"/>
      <c r="AF21" s="50"/>
      <c r="AG21" s="51"/>
      <c r="AH21" s="52"/>
      <c r="AI21" s="53"/>
    </row>
    <row r="22" ht="7.5" customHeight="1">
      <c r="A22" s="54"/>
      <c r="Q22" s="54"/>
      <c r="S22" s="54"/>
      <c r="AI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  <c r="S23" s="21" t="s">
        <v>26</v>
      </c>
      <c r="T23" s="23" t="s">
        <v>69</v>
      </c>
      <c r="V23" s="25"/>
      <c r="W23" s="25"/>
      <c r="X23" s="25"/>
      <c r="Y23" s="25"/>
      <c r="Z23" s="27"/>
      <c r="AA23" s="27"/>
      <c r="AB23" s="25"/>
      <c r="AC23" s="25"/>
      <c r="AD23" s="25"/>
      <c r="AE23" s="25"/>
      <c r="AF23" s="25"/>
      <c r="AG23" s="25"/>
      <c r="AH23" s="25"/>
      <c r="AI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  <c r="S24" s="59"/>
      <c r="V24" s="36"/>
      <c r="W24" s="38"/>
      <c r="X24" s="38"/>
      <c r="Y24" s="67">
        <v>16.0</v>
      </c>
      <c r="Z24" s="68">
        <v>26.0</v>
      </c>
      <c r="AA24" s="47"/>
      <c r="AB24" s="47"/>
      <c r="AC24" s="47"/>
      <c r="AD24" s="47"/>
      <c r="AE24" s="47"/>
      <c r="AF24" s="50"/>
      <c r="AG24" s="51"/>
      <c r="AH24" s="52"/>
      <c r="AI24" s="53"/>
    </row>
    <row r="25" ht="7.5" customHeight="1">
      <c r="A25" s="54"/>
      <c r="Q25" s="54"/>
      <c r="S25" s="54"/>
      <c r="AI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  <c r="S26" s="69" t="s">
        <v>63</v>
      </c>
      <c r="T26" s="14" t="s">
        <v>71</v>
      </c>
      <c r="V26" s="70"/>
      <c r="W26" s="70"/>
      <c r="X26" s="70"/>
      <c r="Y26" s="70"/>
      <c r="Z26" s="71"/>
      <c r="AA26" s="71"/>
      <c r="AB26" s="70"/>
      <c r="AC26" s="70"/>
      <c r="AD26" s="70"/>
      <c r="AE26" s="70"/>
      <c r="AF26" s="70"/>
      <c r="AG26" s="70"/>
      <c r="AH26" s="70"/>
      <c r="AI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  <c r="S27" s="29"/>
      <c r="V27" s="64">
        <v>75.0</v>
      </c>
      <c r="W27" s="75">
        <v>12.0</v>
      </c>
      <c r="X27" s="75">
        <v>12.0</v>
      </c>
      <c r="Y27" s="67">
        <v>40.0</v>
      </c>
      <c r="Z27" s="68">
        <v>18.0</v>
      </c>
      <c r="AA27" s="47"/>
      <c r="AB27" s="47"/>
      <c r="AC27" s="47"/>
      <c r="AD27" s="47"/>
      <c r="AE27" s="47"/>
      <c r="AF27" s="77">
        <v>40.0</v>
      </c>
      <c r="AG27" s="51"/>
      <c r="AH27" s="52"/>
      <c r="AI27" s="53"/>
    </row>
    <row r="28" ht="7.5" customHeight="1">
      <c r="A28" s="54"/>
      <c r="Q28" s="54"/>
      <c r="S28" s="54"/>
      <c r="AI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  <c r="S29" s="69" t="s">
        <v>63</v>
      </c>
      <c r="T29" s="14" t="s">
        <v>72</v>
      </c>
      <c r="V29" s="70"/>
      <c r="W29" s="70"/>
      <c r="X29" s="70"/>
      <c r="Y29" s="70"/>
      <c r="Z29" s="71"/>
      <c r="AA29" s="71"/>
      <c r="AB29" s="70"/>
      <c r="AC29" s="70"/>
      <c r="AD29" s="70"/>
      <c r="AE29" s="70"/>
      <c r="AF29" s="70"/>
      <c r="AG29" s="70"/>
      <c r="AH29" s="70"/>
      <c r="AI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  <c r="S30" s="29"/>
      <c r="T30" s="78"/>
      <c r="U30" s="35" t="s">
        <v>73</v>
      </c>
      <c r="V30" s="36"/>
      <c r="W30" s="38"/>
      <c r="X30" s="38"/>
      <c r="Y30" s="40"/>
      <c r="Z30" s="62">
        <f>ifs(
U30="공6", 6,
U30="공4", 4,
U30="공2", 2,
true, 0
)</f>
        <v>6</v>
      </c>
      <c r="AA30" s="47"/>
      <c r="AB30" s="47"/>
      <c r="AC30" s="47"/>
      <c r="AD30" s="47"/>
      <c r="AE30" s="47"/>
      <c r="AF30" s="50"/>
      <c r="AG30" s="51"/>
      <c r="AH30" s="52"/>
      <c r="AI30" s="53"/>
    </row>
    <row r="31" ht="7.5" customHeight="1">
      <c r="A31" s="54"/>
      <c r="Q31" s="54"/>
      <c r="S31" s="54"/>
      <c r="AI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  <c r="S32" s="69" t="s">
        <v>63</v>
      </c>
      <c r="T32" s="14" t="s">
        <v>74</v>
      </c>
      <c r="V32" s="70"/>
      <c r="W32" s="70"/>
      <c r="X32" s="70"/>
      <c r="Y32" s="70"/>
      <c r="Z32" s="71"/>
      <c r="AA32" s="71"/>
      <c r="AB32" s="70"/>
      <c r="AC32" s="70"/>
      <c r="AD32" s="70"/>
      <c r="AE32" s="70"/>
      <c r="AF32" s="70"/>
      <c r="AG32" s="70"/>
      <c r="AH32" s="70"/>
      <c r="AI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  <c r="S33" s="29"/>
      <c r="T33" s="79" t="s">
        <v>37</v>
      </c>
      <c r="U33" s="80" t="s">
        <v>75</v>
      </c>
      <c r="V33" s="81">
        <f>ifs(
or(U33="H",U33="H+"),10,
or(U33="L",U33="L+"),20,
or(U33="U",U33="U+"),30,
true,""
)</f>
        <v>30</v>
      </c>
      <c r="W33" s="38"/>
      <c r="X33" s="38"/>
      <c r="Y33" s="40"/>
      <c r="Z33" s="62">
        <f>ifs(
U33="H",3,
U33="H+",4,
U33="L",5,
U33="L+",6,
U33="U",7,
U33="U+",8,
true,""
)</f>
        <v>8</v>
      </c>
      <c r="AA33" s="47"/>
      <c r="AB33" s="47"/>
      <c r="AC33" s="47"/>
      <c r="AD33" s="47"/>
      <c r="AE33" s="47"/>
      <c r="AF33" s="50"/>
      <c r="AG33" s="51"/>
      <c r="AH33" s="52"/>
      <c r="AI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  <c r="S34" s="29"/>
      <c r="T34" s="79" t="s">
        <v>76</v>
      </c>
      <c r="U34" s="80" t="s">
        <v>77</v>
      </c>
      <c r="V34" s="81" t="str">
        <f>ifs(
or(U34="영웅심리"),7,
or(U34="달리기가빠른"),10,
true,""
)</f>
        <v/>
      </c>
      <c r="W34" s="82" t="str">
        <f>ifs(
or(U34="날쌘돌이"),10,
or(U34="영웅심리"),7,
true,""
)</f>
        <v/>
      </c>
      <c r="X34" s="82" t="str">
        <f>ifs(
or(U34="샤프한"),3,
true,""
)</f>
        <v/>
      </c>
      <c r="Y34" s="40"/>
      <c r="Z34" s="62" t="str">
        <f>ifs(
or(U34="힘이쎈"),10,
or(U34="영웅심리"),7,
true,""
)</f>
        <v/>
      </c>
      <c r="AA34" s="47"/>
      <c r="AB34" s="47"/>
      <c r="AC34" s="47"/>
      <c r="AD34" s="47"/>
      <c r="AE34" s="47"/>
      <c r="AF34" s="50"/>
      <c r="AG34" s="51"/>
      <c r="AH34" s="52"/>
      <c r="AI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  <c r="S35" s="29"/>
      <c r="T35" s="79" t="s">
        <v>5</v>
      </c>
      <c r="U35" s="80" t="s">
        <v>78</v>
      </c>
      <c r="V35" s="36"/>
      <c r="W35" s="38"/>
      <c r="X35" s="38"/>
      <c r="Y35" s="40"/>
      <c r="Z35" s="83">
        <f>ifs(
U35="공격력:보라",30,
U35="공격력:주황",20,
U35="공격력:파랑",10,
true,0
)</f>
        <v>30</v>
      </c>
      <c r="AA35" s="47"/>
      <c r="AB35" s="47"/>
      <c r="AC35" s="47"/>
      <c r="AD35" s="47"/>
      <c r="AE35" s="47"/>
      <c r="AF35" s="50"/>
      <c r="AG35" s="51"/>
      <c r="AH35" s="52"/>
      <c r="AI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  <c r="S36" s="29"/>
      <c r="T36" s="79" t="s">
        <v>5</v>
      </c>
      <c r="U36" s="80" t="s">
        <v>79</v>
      </c>
      <c r="V36" s="36"/>
      <c r="W36" s="82">
        <f>ifs(
U36="공격속도:보라",30,
U36="공격속도:주황",20,
U36="공격속도:파랑",10,
true,0
)</f>
        <v>30</v>
      </c>
      <c r="X36" s="38"/>
      <c r="Y36" s="40"/>
      <c r="Z36" s="84"/>
      <c r="AA36" s="47"/>
      <c r="AB36" s="47"/>
      <c r="AC36" s="47"/>
      <c r="AD36" s="47"/>
      <c r="AE36" s="47"/>
      <c r="AF36" s="50"/>
      <c r="AG36" s="51"/>
      <c r="AH36" s="52"/>
      <c r="AI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  <c r="S37" s="29"/>
      <c r="T37" s="79" t="s">
        <v>5</v>
      </c>
      <c r="U37" s="80" t="s">
        <v>80</v>
      </c>
      <c r="V37" s="36"/>
      <c r="W37" s="38"/>
      <c r="X37" s="82">
        <f>ifs(
U37="치확:보라",6,
U37="치확:주황",4,
U37="치확:파랑",2,
true,0
)</f>
        <v>6</v>
      </c>
      <c r="Y37" s="40"/>
      <c r="Z37" s="84"/>
      <c r="AA37" s="47"/>
      <c r="AB37" s="47"/>
      <c r="AC37" s="47"/>
      <c r="AD37" s="47"/>
      <c r="AE37" s="47"/>
      <c r="AF37" s="50"/>
      <c r="AG37" s="51"/>
      <c r="AH37" s="52"/>
      <c r="AI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  <c r="S38" s="29"/>
      <c r="T38" s="79" t="s">
        <v>5</v>
      </c>
      <c r="U38" s="80" t="s">
        <v>81</v>
      </c>
      <c r="V38" s="85"/>
      <c r="W38" s="66"/>
      <c r="X38" s="82">
        <f>ifs(
U38="태생치확 +1",1,
U38="태생치확 +0",0,
true,0
)</f>
        <v>1</v>
      </c>
      <c r="Y38" s="40"/>
      <c r="Z38" s="86"/>
      <c r="AA38" s="47"/>
      <c r="AB38" s="47"/>
      <c r="AC38" s="47"/>
      <c r="AD38" s="47"/>
      <c r="AE38" s="47"/>
      <c r="AF38" s="50"/>
      <c r="AG38" s="51"/>
      <c r="AH38" s="52"/>
      <c r="AI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  <c r="S39" s="29"/>
      <c r="T39" s="79" t="s">
        <v>82</v>
      </c>
      <c r="U39" s="87" t="s">
        <v>83</v>
      </c>
      <c r="V39" s="64">
        <v>15.0</v>
      </c>
      <c r="W39" s="75">
        <v>10.0</v>
      </c>
      <c r="X39" s="75">
        <v>10.0</v>
      </c>
      <c r="Y39" s="40"/>
      <c r="Z39" s="68">
        <v>15.0</v>
      </c>
      <c r="AA39" s="47"/>
      <c r="AB39" s="47"/>
      <c r="AC39" s="47"/>
      <c r="AD39" s="47"/>
      <c r="AE39" s="47"/>
      <c r="AF39" s="50"/>
      <c r="AG39" s="51"/>
      <c r="AH39" s="52"/>
      <c r="AI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  <c r="S40" s="29"/>
      <c r="T40" s="79" t="s">
        <v>84</v>
      </c>
      <c r="U40" s="80" t="s">
        <v>85</v>
      </c>
      <c r="V40" s="36"/>
      <c r="W40" s="82" t="str">
        <f>ifs(
U40="퀴큰 0", "",
U40="퀴큰 1", 10,
U40="퀴큰 2", 20,
U40="퀴큰 3", 30,
U40="퀴큰 4", 40,
U40="퀴큰 5", 50,
true, ""
)</f>
        <v/>
      </c>
      <c r="X40" s="38"/>
      <c r="Y40" s="40"/>
      <c r="Z40" s="84"/>
      <c r="AA40" s="47"/>
      <c r="AB40" s="47"/>
      <c r="AC40" s="47"/>
      <c r="AD40" s="47"/>
      <c r="AE40" s="47"/>
      <c r="AF40" s="50"/>
      <c r="AG40" s="51"/>
      <c r="AH40" s="52"/>
      <c r="AI40" s="53"/>
    </row>
    <row r="41" ht="7.5" customHeight="1">
      <c r="A41" s="54"/>
      <c r="Q41" s="54"/>
      <c r="S41" s="54"/>
      <c r="AI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  <c r="S42" s="69" t="s">
        <v>63</v>
      </c>
      <c r="T42" s="14" t="s">
        <v>0</v>
      </c>
      <c r="V42" s="70"/>
      <c r="W42" s="70"/>
      <c r="X42" s="70"/>
      <c r="Y42" s="70"/>
      <c r="Z42" s="71"/>
      <c r="AA42" s="71"/>
      <c r="AB42" s="70"/>
      <c r="AC42" s="70"/>
      <c r="AD42" s="70"/>
      <c r="AE42" s="70"/>
      <c r="AF42" s="70"/>
      <c r="AG42" s="70"/>
      <c r="AH42" s="70"/>
      <c r="AI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  <c r="S43" s="29"/>
      <c r="T43" s="79" t="s">
        <v>86</v>
      </c>
      <c r="U43" s="88">
        <v>1916205.0</v>
      </c>
      <c r="V43" s="36"/>
      <c r="W43" s="38"/>
      <c r="X43" s="38"/>
      <c r="Y43" s="40"/>
      <c r="Z43" s="84"/>
      <c r="AA43" s="47"/>
      <c r="AB43" s="47"/>
      <c r="AC43" s="47"/>
      <c r="AD43" s="47"/>
      <c r="AE43" s="47"/>
      <c r="AF43" s="50"/>
      <c r="AG43" s="51"/>
      <c r="AH43" s="52"/>
      <c r="AI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  <c r="S44" s="29"/>
      <c r="T44" s="79" t="s">
        <v>87</v>
      </c>
      <c r="U44" s="89">
        <v>2.2</v>
      </c>
      <c r="V44" s="36"/>
      <c r="W44" s="38"/>
      <c r="X44" s="38"/>
      <c r="Y44" s="40"/>
      <c r="Z44" s="84"/>
      <c r="AA44" s="47"/>
      <c r="AB44" s="47"/>
      <c r="AC44" s="47"/>
      <c r="AD44" s="47"/>
      <c r="AE44" s="47"/>
      <c r="AF44" s="50"/>
      <c r="AG44" s="51"/>
      <c r="AH44" s="52"/>
      <c r="AI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  <c r="S45" s="29"/>
      <c r="T45" s="79" t="s">
        <v>88</v>
      </c>
      <c r="U45" s="90">
        <v>13.0</v>
      </c>
      <c r="V45" s="36"/>
      <c r="W45" s="82">
        <f>if(
U45&gt;0,
1.2+0.18*U45,
"")</f>
        <v>3.54</v>
      </c>
      <c r="X45" s="38"/>
      <c r="Y45" s="40"/>
      <c r="Z45" s="83"/>
      <c r="AA45" s="47"/>
      <c r="AB45" s="47"/>
      <c r="AC45" s="47"/>
      <c r="AD45" s="47"/>
      <c r="AE45" s="47"/>
      <c r="AF45" s="50"/>
      <c r="AG45" s="51"/>
      <c r="AH45" s="52"/>
      <c r="AI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  <c r="S46" s="29"/>
      <c r="T46" s="79" t="s">
        <v>89</v>
      </c>
      <c r="U46" s="35" t="s">
        <v>77</v>
      </c>
      <c r="V46" s="36"/>
      <c r="W46" s="38"/>
      <c r="X46" s="38"/>
      <c r="Y46" s="40"/>
      <c r="Z46" s="84"/>
      <c r="AA46" s="47"/>
      <c r="AB46" s="47"/>
      <c r="AC46" s="47"/>
      <c r="AD46" s="47"/>
      <c r="AE46" s="47"/>
      <c r="AF46" s="50"/>
      <c r="AG46" s="91" t="str">
        <f>ifs(
U46="정의6", 30,
U46="정의4", 20,
U46="정의2", 10,
true, ""
)</f>
        <v/>
      </c>
      <c r="AH46" s="52"/>
      <c r="AI46" s="53"/>
    </row>
    <row r="47" ht="18.75" customHeight="1">
      <c r="A47" s="29"/>
      <c r="B47" s="79" t="s">
        <v>57</v>
      </c>
      <c r="C47" s="87" t="s">
        <v>83</v>
      </c>
      <c r="D47" s="64">
        <v>17.0</v>
      </c>
      <c r="E47" s="75">
        <v>16.0</v>
      </c>
      <c r="F47" s="75">
        <v>16.0</v>
      </c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  <c r="S47" s="29"/>
      <c r="T47" s="79" t="s">
        <v>57</v>
      </c>
      <c r="U47" s="87" t="s">
        <v>83</v>
      </c>
      <c r="V47" s="64">
        <v>17.0</v>
      </c>
      <c r="W47" s="75">
        <v>16.0</v>
      </c>
      <c r="X47" s="75">
        <v>16.0</v>
      </c>
      <c r="Y47" s="67">
        <v>38.0</v>
      </c>
      <c r="Z47" s="68">
        <v>34.0</v>
      </c>
      <c r="AA47" s="92"/>
      <c r="AB47" s="76">
        <v>38.0</v>
      </c>
      <c r="AC47" s="76"/>
      <c r="AD47" s="92"/>
      <c r="AE47" s="92"/>
      <c r="AF47" s="50"/>
      <c r="AG47" s="51"/>
      <c r="AH47" s="52"/>
      <c r="AI47" s="53"/>
    </row>
    <row r="48" ht="18.75" customHeight="1">
      <c r="A48" s="29"/>
      <c r="B48" s="79" t="s">
        <v>0</v>
      </c>
      <c r="C48" s="87" t="s">
        <v>83</v>
      </c>
      <c r="D48" s="64">
        <v>74.0</v>
      </c>
      <c r="E48" s="75">
        <v>16.0</v>
      </c>
      <c r="F48" s="75">
        <v>48.0</v>
      </c>
      <c r="G48" s="67">
        <v>610.0</v>
      </c>
      <c r="H48" s="68">
        <v>171.0</v>
      </c>
      <c r="I48" s="76"/>
      <c r="J48" s="76">
        <v>270.0</v>
      </c>
      <c r="K48" s="76"/>
      <c r="L48" s="76"/>
      <c r="M48" s="92"/>
      <c r="N48" s="50"/>
      <c r="O48" s="93"/>
      <c r="P48" s="94">
        <v>5.0</v>
      </c>
      <c r="Q48" s="95">
        <v>55.0</v>
      </c>
      <c r="S48" s="29"/>
      <c r="T48" s="79" t="s">
        <v>0</v>
      </c>
      <c r="U48" s="87" t="s">
        <v>83</v>
      </c>
      <c r="V48" s="64">
        <v>74.0</v>
      </c>
      <c r="W48" s="75">
        <v>16.0</v>
      </c>
      <c r="X48" s="75">
        <v>48.0</v>
      </c>
      <c r="Y48" s="67">
        <v>610.0</v>
      </c>
      <c r="Z48" s="68">
        <v>171.0</v>
      </c>
      <c r="AA48" s="76"/>
      <c r="AB48" s="76">
        <v>270.0</v>
      </c>
      <c r="AC48" s="76"/>
      <c r="AD48" s="76"/>
      <c r="AE48" s="92"/>
      <c r="AF48" s="50"/>
      <c r="AG48" s="93"/>
      <c r="AH48" s="94">
        <v>5.0</v>
      </c>
      <c r="AI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  <c r="S49" s="29"/>
      <c r="T49" s="79" t="s">
        <v>90</v>
      </c>
      <c r="U49" s="87" t="s">
        <v>91</v>
      </c>
      <c r="V49" s="36"/>
      <c r="W49" s="38"/>
      <c r="X49" s="38"/>
      <c r="Y49" s="40"/>
      <c r="Z49" s="96">
        <v>90.0</v>
      </c>
      <c r="AA49" s="47"/>
      <c r="AB49" s="47"/>
      <c r="AC49" s="47"/>
      <c r="AD49" s="47"/>
      <c r="AE49" s="47"/>
      <c r="AF49" s="50"/>
      <c r="AG49" s="51"/>
      <c r="AH49" s="52"/>
      <c r="AI49" s="53"/>
    </row>
    <row r="50" ht="7.5" customHeight="1">
      <c r="A50" s="54"/>
      <c r="Q50" s="54"/>
      <c r="S50" s="54"/>
      <c r="AI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  <c r="S51" s="69" t="s">
        <v>63</v>
      </c>
      <c r="T51" s="14" t="s">
        <v>92</v>
      </c>
      <c r="V51" s="70"/>
      <c r="W51" s="70"/>
      <c r="X51" s="70"/>
      <c r="Y51" s="70"/>
      <c r="Z51" s="71"/>
      <c r="AA51" s="71"/>
      <c r="AB51" s="70"/>
      <c r="AC51" s="70"/>
      <c r="AD51" s="70"/>
      <c r="AE51" s="70"/>
      <c r="AF51" s="70"/>
      <c r="AG51" s="70"/>
      <c r="AH51" s="70"/>
      <c r="AI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  <c r="S52" s="29"/>
      <c r="T52" s="14"/>
      <c r="U52" s="35" t="s">
        <v>93</v>
      </c>
      <c r="V52" s="36"/>
      <c r="W52" s="38"/>
      <c r="X52" s="82">
        <f>ifs(
or(U52="버서커", U52="팔라딘", U52="다크나이트"), 3,
or(U52="레인저", U52="소서러"), 6,
true, ""
)</f>
        <v>3</v>
      </c>
      <c r="Y52" s="40"/>
      <c r="Z52" s="84"/>
      <c r="AA52" s="47"/>
      <c r="AB52" s="47"/>
      <c r="AC52" s="47"/>
      <c r="AD52" s="47"/>
      <c r="AE52" s="47"/>
      <c r="AF52" s="50"/>
      <c r="AG52" s="51"/>
      <c r="AH52" s="52"/>
      <c r="AI52" s="53"/>
    </row>
    <row r="53" ht="7.5" customHeight="1">
      <c r="A53" s="54"/>
      <c r="Q53" s="54"/>
      <c r="S53" s="54"/>
      <c r="AI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  <c r="S54" s="69" t="s">
        <v>63</v>
      </c>
      <c r="T54" s="14" t="s">
        <v>95</v>
      </c>
      <c r="V54" s="70"/>
      <c r="W54" s="70"/>
      <c r="X54" s="70"/>
      <c r="Y54" s="70"/>
      <c r="Z54" s="71"/>
      <c r="AA54" s="71"/>
      <c r="AB54" s="70"/>
      <c r="AC54" s="70"/>
      <c r="AD54" s="70"/>
      <c r="AE54" s="70"/>
      <c r="AF54" s="70"/>
      <c r="AG54" s="70"/>
      <c r="AH54" s="70"/>
      <c r="AI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  <c r="S55" s="29"/>
      <c r="T55" s="79" t="s">
        <v>96</v>
      </c>
      <c r="U55" s="87" t="s">
        <v>83</v>
      </c>
      <c r="V55" s="36"/>
      <c r="W55" s="38"/>
      <c r="X55" s="38"/>
      <c r="Y55" s="67"/>
      <c r="Z55" s="68">
        <v>50.0</v>
      </c>
      <c r="AA55" s="47"/>
      <c r="AB55" s="47"/>
      <c r="AC55" s="47"/>
      <c r="AD55" s="47"/>
      <c r="AE55" s="47"/>
      <c r="AF55" s="50"/>
      <c r="AG55" s="51"/>
      <c r="AH55" s="52"/>
      <c r="AI55" s="53"/>
    </row>
    <row r="56" ht="7.5" customHeight="1">
      <c r="A56" s="54"/>
      <c r="Q56" s="54"/>
      <c r="S56" s="54"/>
      <c r="AI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  <c r="S57" s="69" t="s">
        <v>63</v>
      </c>
      <c r="T57" s="14" t="s">
        <v>97</v>
      </c>
      <c r="V57" s="97" t="s">
        <v>98</v>
      </c>
      <c r="W57" s="97" t="s">
        <v>99</v>
      </c>
      <c r="X57" s="97" t="s">
        <v>100</v>
      </c>
      <c r="Y57" s="98" t="s">
        <v>101</v>
      </c>
      <c r="AA57" s="98" t="s">
        <v>102</v>
      </c>
      <c r="AC57" s="99"/>
      <c r="AD57" s="100"/>
      <c r="AE57" s="99"/>
      <c r="AF57" s="99"/>
      <c r="AG57" s="99"/>
      <c r="AH57" s="99"/>
      <c r="AI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1</v>
      </c>
      <c r="F58" s="104" t="b">
        <v>0</v>
      </c>
      <c r="G58" s="105">
        <f t="shared" ref="G58:G59" si="1">if(and(E58=true,D58&gt;0),D58%,"")</f>
        <v>0.1</v>
      </c>
      <c r="H58" s="97" t="str">
        <f t="shared" ref="H58:H61" si="2">if(F58=true,G58,"")</f>
        <v/>
      </c>
      <c r="I58" s="105">
        <f t="shared" ref="I58:I59" si="3">if(and(E58=true,D58&gt;0),D58%,"")</f>
        <v>0.1</v>
      </c>
      <c r="J58" s="97" t="str">
        <f t="shared" ref="J58:J61" si="4">if(F58=true,I58,"")</f>
        <v/>
      </c>
      <c r="K58" s="105" t="s">
        <v>144</v>
      </c>
      <c r="S58" s="54"/>
      <c r="T58" s="101">
        <v>1.0</v>
      </c>
      <c r="U58" s="97" t="s">
        <v>103</v>
      </c>
      <c r="V58" s="102">
        <v>10.0</v>
      </c>
      <c r="W58" s="103" t="b">
        <v>1</v>
      </c>
      <c r="X58" s="104" t="b">
        <v>0</v>
      </c>
      <c r="Y58" s="105">
        <f t="shared" ref="Y58:Y59" si="5">if(and(W58=true,V58&gt;0),V58%,"")</f>
        <v>0.1</v>
      </c>
      <c r="Z58" s="97" t="str">
        <f t="shared" ref="Z58:Z61" si="6">if(X58=true,Y58,"")</f>
        <v/>
      </c>
      <c r="AA58" s="105">
        <f t="shared" ref="AA58:AA59" si="7">if(and(W58=true,V58&gt;0),V58%,"")</f>
        <v>0.1</v>
      </c>
      <c r="AB58" s="97" t="str">
        <f t="shared" ref="AB58:AB61" si="8">if(X58=true,AA58,"")</f>
        <v/>
      </c>
      <c r="AC58" s="105" t="s">
        <v>147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0</v>
      </c>
      <c r="F59" s="108" t="b">
        <v>1</v>
      </c>
      <c r="G59" s="105" t="str">
        <f t="shared" si="1"/>
        <v/>
      </c>
      <c r="H59" s="97" t="str">
        <f t="shared" si="2"/>
        <v/>
      </c>
      <c r="I59" s="105" t="str">
        <f t="shared" si="3"/>
        <v/>
      </c>
      <c r="J59" s="97" t="str">
        <f t="shared" si="4"/>
        <v/>
      </c>
      <c r="S59" s="106"/>
      <c r="T59" s="101">
        <v>2.0</v>
      </c>
      <c r="U59" s="97" t="s">
        <v>105</v>
      </c>
      <c r="V59" s="107">
        <v>20.0</v>
      </c>
      <c r="W59" s="105" t="b">
        <v>1</v>
      </c>
      <c r="X59" s="108" t="b">
        <v>1</v>
      </c>
      <c r="Y59" s="105">
        <f t="shared" si="5"/>
        <v>0.2</v>
      </c>
      <c r="Z59" s="97">
        <f t="shared" si="6"/>
        <v>0.2</v>
      </c>
      <c r="AA59" s="105">
        <f t="shared" si="7"/>
        <v>0.2</v>
      </c>
      <c r="AB59" s="97">
        <f t="shared" si="8"/>
        <v>0.2</v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1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  <c r="S60" s="106"/>
      <c r="T60" s="101">
        <v>3.0</v>
      </c>
      <c r="U60" s="97" t="s">
        <v>106</v>
      </c>
      <c r="V60" s="109">
        <v>10.0</v>
      </c>
      <c r="W60" s="105" t="b">
        <v>0</v>
      </c>
      <c r="X60" s="108" t="b">
        <v>1</v>
      </c>
      <c r="Y60" s="105" t="str">
        <f>if(W60=true,(if(AG92&gt;300,300,AG92)*V60%)%,"")</f>
        <v/>
      </c>
      <c r="Z60" s="97" t="str">
        <f t="shared" si="6"/>
        <v/>
      </c>
      <c r="AA60" s="105" t="str">
        <f>if(W60=true,(if(AH92&gt;300,300,AH92)*V60%)%,"")</f>
        <v/>
      </c>
      <c r="AB60" s="97" t="str">
        <f t="shared" si="8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1</v>
      </c>
      <c r="F61" s="112" t="b">
        <v>1</v>
      </c>
      <c r="G61" s="105">
        <f>if(E61=true,(if(O92&gt;400,400,O92)*D61%)%,"")</f>
        <v>0.291</v>
      </c>
      <c r="H61" s="97">
        <f t="shared" si="2"/>
        <v>0.291</v>
      </c>
      <c r="I61" s="105">
        <f>if(E61=true,(if(P92&gt;400,400,P92)*D61%)%,"")</f>
        <v>0.341</v>
      </c>
      <c r="J61" s="97">
        <f t="shared" si="4"/>
        <v>0.341</v>
      </c>
      <c r="S61" s="106"/>
      <c r="T61" s="101">
        <v>4.0</v>
      </c>
      <c r="U61" s="97" t="s">
        <v>108</v>
      </c>
      <c r="V61" s="110">
        <v>10.0</v>
      </c>
      <c r="W61" s="111" t="b">
        <v>0</v>
      </c>
      <c r="X61" s="112" t="b">
        <v>1</v>
      </c>
      <c r="Y61" s="105" t="str">
        <f>if(W61=true,(if(AG92&gt;400,400,AG92)*V61%)%,"")</f>
        <v/>
      </c>
      <c r="Z61" s="97" t="str">
        <f t="shared" si="6"/>
        <v/>
      </c>
      <c r="AA61" s="105" t="str">
        <f>if(W61=true,(if(AH92&gt;400,400,AH92)*V61%)%,"")</f>
        <v/>
      </c>
      <c r="AB61" s="97" t="str">
        <f t="shared" si="8"/>
        <v/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9">1+sum(G58:G61)</f>
        <v>1.391</v>
      </c>
      <c r="H62" s="101">
        <f t="shared" si="9"/>
        <v>1.291</v>
      </c>
      <c r="I62" s="115">
        <f t="shared" si="9"/>
        <v>1.441</v>
      </c>
      <c r="J62" s="101">
        <f t="shared" si="9"/>
        <v>1.341</v>
      </c>
      <c r="S62" s="106"/>
      <c r="T62" s="99"/>
      <c r="U62" s="79" t="s">
        <v>110</v>
      </c>
      <c r="V62" s="106"/>
      <c r="W62" s="113"/>
      <c r="X62" s="114"/>
      <c r="Y62" s="115">
        <f t="shared" ref="Y62:AB62" si="10">1+sum(Y58:Y61)</f>
        <v>1.3</v>
      </c>
      <c r="Z62" s="101">
        <f t="shared" si="10"/>
        <v>1.2</v>
      </c>
      <c r="AA62" s="115">
        <f t="shared" si="10"/>
        <v>1.3</v>
      </c>
      <c r="AB62" s="101">
        <f t="shared" si="10"/>
        <v>1.2</v>
      </c>
    </row>
    <row r="63" ht="7.5" customHeight="1">
      <c r="A63" s="54"/>
      <c r="Q63" s="54"/>
      <c r="S63" s="54"/>
      <c r="AI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  <c r="S64" s="69" t="s">
        <v>63</v>
      </c>
      <c r="T64" s="14" t="s">
        <v>111</v>
      </c>
      <c r="V64" s="97" t="s">
        <v>98</v>
      </c>
      <c r="W64" s="97" t="s">
        <v>99</v>
      </c>
      <c r="X64" s="97" t="s">
        <v>100</v>
      </c>
      <c r="Y64" s="116" t="s">
        <v>112</v>
      </c>
      <c r="AA64" s="98" t="s">
        <v>113</v>
      </c>
      <c r="AC64" s="99"/>
      <c r="AD64" s="100"/>
      <c r="AE64" s="99"/>
      <c r="AF64" s="99"/>
      <c r="AG64" s="99"/>
      <c r="AH64" s="99"/>
      <c r="AI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11">if(and(E65=true,D65&gt;0),D65%,"")</f>
        <v/>
      </c>
      <c r="H65" s="118" t="str">
        <f t="shared" ref="H65:H67" si="12">if(F65=true,G65,"")</f>
        <v/>
      </c>
      <c r="I65" s="105" t="str">
        <f t="shared" ref="I65:I67" si="13">if(and(E65=true,D65&gt;0),D65%,"")</f>
        <v/>
      </c>
      <c r="J65" s="97" t="str">
        <f>if(F65=true,I65,"")</f>
        <v/>
      </c>
      <c r="K65" s="105" t="s">
        <v>155</v>
      </c>
      <c r="S65" s="54"/>
      <c r="T65" s="101">
        <v>1.0</v>
      </c>
      <c r="U65" s="97" t="s">
        <v>114</v>
      </c>
      <c r="V65" s="117"/>
      <c r="W65" s="103" t="b">
        <v>0</v>
      </c>
      <c r="X65" s="104" t="b">
        <v>0</v>
      </c>
      <c r="Y65" s="118" t="str">
        <f t="shared" ref="Y65:Y67" si="14">if(and(W65=true,V65&gt;0),V65%,"")</f>
        <v/>
      </c>
      <c r="Z65" s="118" t="str">
        <f t="shared" ref="Z65:Z67" si="15">if(X65=true,Y65,"")</f>
        <v/>
      </c>
      <c r="AA65" s="105" t="str">
        <f t="shared" ref="AA65:AA67" si="16">if(and(W65=true,V65&gt;0),V65%,"")</f>
        <v/>
      </c>
      <c r="AB65" s="97" t="str">
        <f>if(X65=true,AA65,"")</f>
        <v/>
      </c>
      <c r="AC65" s="105" t="s">
        <v>157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11"/>
        <v/>
      </c>
      <c r="H66" s="118" t="str">
        <f t="shared" si="12"/>
        <v/>
      </c>
      <c r="I66" s="105" t="str">
        <f t="shared" si="13"/>
        <v/>
      </c>
      <c r="J66" s="97" t="str">
        <f t="shared" ref="J66:J67" si="17">if(and(F66=true,D66&gt;0),G66,"")</f>
        <v/>
      </c>
      <c r="S66" s="106"/>
      <c r="T66" s="101">
        <v>2.0</v>
      </c>
      <c r="U66" s="97" t="s">
        <v>118</v>
      </c>
      <c r="V66" s="119"/>
      <c r="W66" s="105" t="b">
        <v>0</v>
      </c>
      <c r="X66" s="108" t="b">
        <v>0</v>
      </c>
      <c r="Y66" s="118" t="str">
        <f t="shared" si="14"/>
        <v/>
      </c>
      <c r="Z66" s="118" t="str">
        <f t="shared" si="15"/>
        <v/>
      </c>
      <c r="AA66" s="105" t="str">
        <f t="shared" si="16"/>
        <v/>
      </c>
      <c r="AB66" s="97" t="str">
        <f t="shared" ref="AB66:AB67" si="18">if(and(X66=true,V66&gt;0),Y66,"")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11"/>
        <v/>
      </c>
      <c r="H67" s="118" t="str">
        <f t="shared" si="12"/>
        <v/>
      </c>
      <c r="I67" s="105" t="str">
        <f t="shared" si="13"/>
        <v/>
      </c>
      <c r="J67" s="97" t="str">
        <f t="shared" si="17"/>
        <v/>
      </c>
      <c r="S67" s="106"/>
      <c r="T67" s="101">
        <v>3.0</v>
      </c>
      <c r="U67" s="97"/>
      <c r="V67" s="120"/>
      <c r="W67" s="111" t="b">
        <v>0</v>
      </c>
      <c r="X67" s="112" t="b">
        <v>0</v>
      </c>
      <c r="Y67" s="118" t="str">
        <f t="shared" si="14"/>
        <v/>
      </c>
      <c r="Z67" s="118" t="str">
        <f t="shared" si="15"/>
        <v/>
      </c>
      <c r="AA67" s="105" t="str">
        <f t="shared" si="16"/>
        <v/>
      </c>
      <c r="AB67" s="97" t="str">
        <f t="shared" si="18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9">1+sum(G65:G67)</f>
        <v>1</v>
      </c>
      <c r="H68" s="121">
        <f t="shared" si="19"/>
        <v>1</v>
      </c>
      <c r="I68" s="115">
        <f t="shared" si="19"/>
        <v>1</v>
      </c>
      <c r="J68" s="101">
        <f t="shared" si="19"/>
        <v>1</v>
      </c>
      <c r="S68" s="106"/>
      <c r="T68" s="99"/>
      <c r="U68" s="79" t="s">
        <v>110</v>
      </c>
      <c r="V68" s="106"/>
      <c r="W68" s="113"/>
      <c r="X68" s="114"/>
      <c r="Y68" s="121">
        <f t="shared" ref="Y68:AB68" si="20">1+sum(Y65:Y67)</f>
        <v>1</v>
      </c>
      <c r="Z68" s="121">
        <f t="shared" si="20"/>
        <v>1</v>
      </c>
      <c r="AA68" s="115">
        <f t="shared" si="20"/>
        <v>1</v>
      </c>
      <c r="AB68" s="101">
        <f t="shared" si="20"/>
        <v>1</v>
      </c>
    </row>
    <row r="69" ht="7.5" customHeight="1">
      <c r="A69" s="54"/>
      <c r="Q69" s="54"/>
      <c r="S69" s="54"/>
      <c r="AI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  <c r="S70" s="69" t="s">
        <v>63</v>
      </c>
      <c r="T70" s="14" t="s">
        <v>119</v>
      </c>
      <c r="V70" s="97" t="s">
        <v>98</v>
      </c>
      <c r="W70" s="97" t="s">
        <v>99</v>
      </c>
      <c r="X70" s="97" t="s">
        <v>100</v>
      </c>
      <c r="Y70" s="116" t="s">
        <v>112</v>
      </c>
      <c r="AA70" s="98" t="s">
        <v>113</v>
      </c>
      <c r="AC70" s="99"/>
      <c r="AD70" s="100"/>
      <c r="AE70" s="99"/>
      <c r="AF70" s="99"/>
      <c r="AG70" s="99"/>
      <c r="AH70" s="99"/>
      <c r="AI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21">if(and(E71=true,D71&gt;0),D71%,"")</f>
        <v/>
      </c>
      <c r="H71" s="118" t="str">
        <f t="shared" ref="H71:H73" si="22">if(F71=true,G71,"")</f>
        <v/>
      </c>
      <c r="I71" s="105" t="str">
        <f t="shared" ref="I71:I73" si="23">if(and(E71=true,D71&gt;0),D71%,"")</f>
        <v/>
      </c>
      <c r="J71" s="97" t="str">
        <f>if(F71=true,I71,"")</f>
        <v/>
      </c>
      <c r="K71" s="105" t="s">
        <v>121</v>
      </c>
      <c r="S71" s="106"/>
      <c r="T71" s="101">
        <v>1.0</v>
      </c>
      <c r="U71" s="122" t="s">
        <v>120</v>
      </c>
      <c r="V71" s="103"/>
      <c r="W71" s="103" t="b">
        <v>0</v>
      </c>
      <c r="X71" s="104" t="b">
        <v>0</v>
      </c>
      <c r="Y71" s="118" t="str">
        <f t="shared" ref="Y71:Y73" si="24">if(and(W71=true,V71&gt;0),V71%,"")</f>
        <v/>
      </c>
      <c r="Z71" s="118" t="str">
        <f t="shared" ref="Z71:Z73" si="25">if(X71=true,Y71,"")</f>
        <v/>
      </c>
      <c r="AA71" s="105" t="str">
        <f t="shared" ref="AA71:AA73" si="26">if(and(W71=true,V71&gt;0),V71%,"")</f>
        <v/>
      </c>
      <c r="AB71" s="97" t="str">
        <f>if(X71=true,AA71,"")</f>
        <v/>
      </c>
      <c r="AC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21"/>
        <v/>
      </c>
      <c r="H72" s="118" t="str">
        <f t="shared" si="22"/>
        <v/>
      </c>
      <c r="I72" s="105" t="str">
        <f t="shared" si="23"/>
        <v/>
      </c>
      <c r="J72" s="97" t="str">
        <f t="shared" ref="J72:J73" si="27">if(and(F72=true,D72&gt;0),G72,"")</f>
        <v/>
      </c>
      <c r="S72" s="106"/>
      <c r="T72" s="101">
        <v>2.0</v>
      </c>
      <c r="U72" s="123" t="s">
        <v>83</v>
      </c>
      <c r="V72" s="54"/>
      <c r="W72" s="54" t="b">
        <v>0</v>
      </c>
      <c r="X72" s="124" t="b">
        <v>0</v>
      </c>
      <c r="Y72" s="118" t="str">
        <f t="shared" si="24"/>
        <v/>
      </c>
      <c r="Z72" s="118" t="str">
        <f t="shared" si="25"/>
        <v/>
      </c>
      <c r="AA72" s="105" t="str">
        <f t="shared" si="26"/>
        <v/>
      </c>
      <c r="AB72" s="97" t="str">
        <f t="shared" ref="AB72:AB73" si="28">if(and(X72=true,V72&gt;0),Y72,"")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21"/>
        <v/>
      </c>
      <c r="H73" s="118" t="str">
        <f t="shared" si="22"/>
        <v/>
      </c>
      <c r="I73" s="105" t="str">
        <f t="shared" si="23"/>
        <v/>
      </c>
      <c r="J73" s="97" t="str">
        <f t="shared" si="27"/>
        <v/>
      </c>
      <c r="S73" s="106"/>
      <c r="T73" s="101">
        <v>3.0</v>
      </c>
      <c r="U73" s="125" t="s">
        <v>83</v>
      </c>
      <c r="V73" s="126"/>
      <c r="W73" s="126" t="b">
        <v>0</v>
      </c>
      <c r="X73" s="127" t="b">
        <v>0</v>
      </c>
      <c r="Y73" s="118" t="str">
        <f t="shared" si="24"/>
        <v/>
      </c>
      <c r="Z73" s="118" t="str">
        <f t="shared" si="25"/>
        <v/>
      </c>
      <c r="AA73" s="105" t="str">
        <f t="shared" si="26"/>
        <v/>
      </c>
      <c r="AB73" s="97" t="str">
        <f t="shared" si="28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29">1+sum(G71:G73)</f>
        <v>1</v>
      </c>
      <c r="H74" s="121">
        <f t="shared" si="29"/>
        <v>1</v>
      </c>
      <c r="I74" s="115">
        <f t="shared" si="29"/>
        <v>1</v>
      </c>
      <c r="J74" s="101">
        <f t="shared" si="29"/>
        <v>1</v>
      </c>
      <c r="S74" s="106"/>
      <c r="T74" s="99"/>
      <c r="U74" s="79" t="s">
        <v>110</v>
      </c>
      <c r="V74" s="106"/>
      <c r="W74" s="113"/>
      <c r="X74" s="114"/>
      <c r="Y74" s="121">
        <f t="shared" ref="Y74:AB74" si="30">1+sum(Y71:Y73)</f>
        <v>1</v>
      </c>
      <c r="Z74" s="121">
        <f t="shared" si="30"/>
        <v>1</v>
      </c>
      <c r="AA74" s="115">
        <f t="shared" si="30"/>
        <v>1</v>
      </c>
      <c r="AB74" s="101">
        <f t="shared" si="30"/>
        <v>1</v>
      </c>
    </row>
    <row r="75" ht="7.5" customHeight="1">
      <c r="A75" s="54"/>
      <c r="Q75" s="54"/>
      <c r="S75" s="54"/>
      <c r="AI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  <c r="S76" s="69" t="s">
        <v>63</v>
      </c>
      <c r="T76" s="14" t="s">
        <v>123</v>
      </c>
      <c r="V76" s="97" t="s">
        <v>98</v>
      </c>
      <c r="W76" s="97" t="s">
        <v>99</v>
      </c>
      <c r="X76" s="97" t="s">
        <v>100</v>
      </c>
      <c r="Y76" s="116" t="s">
        <v>112</v>
      </c>
      <c r="AA76" s="98" t="s">
        <v>113</v>
      </c>
      <c r="AC76" s="99"/>
      <c r="AD76" s="100"/>
      <c r="AE76" s="99"/>
      <c r="AF76" s="99"/>
      <c r="AG76" s="99"/>
      <c r="AH76" s="99"/>
      <c r="AI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31">if(and(E77=true,D77&gt;0),D77%,"")</f>
        <v/>
      </c>
      <c r="H77" s="118" t="str">
        <f t="shared" ref="H77:H80" si="32">if(F77=true,G77,"")</f>
        <v/>
      </c>
      <c r="I77" s="105" t="str">
        <f t="shared" ref="I77:I80" si="33">if(and(E77=true,D77&gt;0),D77%,"")</f>
        <v/>
      </c>
      <c r="J77" s="97" t="str">
        <f>if(F77=true,I77,"")</f>
        <v/>
      </c>
      <c r="K77" s="105" t="s">
        <v>124</v>
      </c>
      <c r="S77" s="106"/>
      <c r="T77" s="101">
        <v>1.0</v>
      </c>
      <c r="U77" s="122" t="s">
        <v>83</v>
      </c>
      <c r="V77" s="128"/>
      <c r="W77" s="128" t="b">
        <v>0</v>
      </c>
      <c r="X77" s="129" t="b">
        <v>0</v>
      </c>
      <c r="Y77" s="118" t="str">
        <f t="shared" ref="Y77:Y80" si="34">if(and(W77=true,V77&gt;0),V77%,"")</f>
        <v/>
      </c>
      <c r="Z77" s="118" t="str">
        <f t="shared" ref="Z77:Z80" si="35">if(X77=true,Y77,"")</f>
        <v/>
      </c>
      <c r="AA77" s="105" t="str">
        <f t="shared" ref="AA77:AA80" si="36">if(and(W77=true,V77&gt;0),V77%,"")</f>
        <v/>
      </c>
      <c r="AB77" s="97" t="str">
        <f>if(X77=true,AA77,"")</f>
        <v/>
      </c>
      <c r="AC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31"/>
        <v/>
      </c>
      <c r="H78" s="118" t="str">
        <f t="shared" si="32"/>
        <v/>
      </c>
      <c r="I78" s="105" t="str">
        <f t="shared" si="33"/>
        <v/>
      </c>
      <c r="J78" s="97" t="str">
        <f t="shared" ref="J78:J80" si="37">if(and(F78=true,D78&gt;0),G78,"")</f>
        <v/>
      </c>
      <c r="S78" s="106"/>
      <c r="T78" s="101">
        <v>2.0</v>
      </c>
      <c r="U78" s="123" t="s">
        <v>83</v>
      </c>
      <c r="V78" s="54"/>
      <c r="W78" s="54" t="b">
        <v>0</v>
      </c>
      <c r="X78" s="124" t="b">
        <v>0</v>
      </c>
      <c r="Y78" s="118" t="str">
        <f t="shared" si="34"/>
        <v/>
      </c>
      <c r="Z78" s="118" t="str">
        <f t="shared" si="35"/>
        <v/>
      </c>
      <c r="AA78" s="105" t="str">
        <f t="shared" si="36"/>
        <v/>
      </c>
      <c r="AB78" s="97" t="str">
        <f t="shared" ref="AB78:AB80" si="38">if(and(X78=true,V78&gt;0),Y78,"")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31"/>
        <v/>
      </c>
      <c r="H79" s="118" t="str">
        <f t="shared" si="32"/>
        <v/>
      </c>
      <c r="I79" s="105" t="str">
        <f t="shared" si="33"/>
        <v/>
      </c>
      <c r="J79" s="97" t="str">
        <f t="shared" si="37"/>
        <v/>
      </c>
      <c r="S79" s="106"/>
      <c r="T79" s="101">
        <v>3.0</v>
      </c>
      <c r="U79" s="123" t="s">
        <v>83</v>
      </c>
      <c r="V79" s="54"/>
      <c r="W79" s="54" t="b">
        <v>0</v>
      </c>
      <c r="X79" s="124" t="b">
        <v>0</v>
      </c>
      <c r="Y79" s="118" t="str">
        <f t="shared" si="34"/>
        <v/>
      </c>
      <c r="Z79" s="118" t="str">
        <f t="shared" si="35"/>
        <v/>
      </c>
      <c r="AA79" s="105" t="str">
        <f t="shared" si="36"/>
        <v/>
      </c>
      <c r="AB79" s="97" t="str">
        <f t="shared" si="38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31"/>
        <v/>
      </c>
      <c r="H80" s="121" t="str">
        <f t="shared" si="32"/>
        <v/>
      </c>
      <c r="I80" s="105" t="str">
        <f t="shared" si="33"/>
        <v/>
      </c>
      <c r="J80" s="97" t="str">
        <f t="shared" si="37"/>
        <v/>
      </c>
      <c r="S80" s="106"/>
      <c r="T80" s="101">
        <v>4.0</v>
      </c>
      <c r="U80" s="125" t="s">
        <v>83</v>
      </c>
      <c r="V80" s="126"/>
      <c r="W80" s="126" t="b">
        <v>0</v>
      </c>
      <c r="X80" s="127" t="b">
        <v>0</v>
      </c>
      <c r="Y80" s="121" t="str">
        <f t="shared" si="34"/>
        <v/>
      </c>
      <c r="Z80" s="121" t="str">
        <f t="shared" si="35"/>
        <v/>
      </c>
      <c r="AA80" s="105" t="str">
        <f t="shared" si="36"/>
        <v/>
      </c>
      <c r="AB80" s="97" t="str">
        <f t="shared" si="38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39">1+sum(G77:G80)</f>
        <v>1</v>
      </c>
      <c r="H81" s="121">
        <f t="shared" si="39"/>
        <v>1</v>
      </c>
      <c r="I81" s="115">
        <f t="shared" si="39"/>
        <v>1</v>
      </c>
      <c r="J81" s="101">
        <f t="shared" si="39"/>
        <v>1</v>
      </c>
      <c r="S81" s="106"/>
      <c r="T81" s="99"/>
      <c r="U81" s="79" t="s">
        <v>110</v>
      </c>
      <c r="V81" s="106"/>
      <c r="W81" s="113"/>
      <c r="X81" s="114"/>
      <c r="Y81" s="121">
        <f t="shared" ref="Y81:AB81" si="40">1+sum(Y77:Y80)</f>
        <v>1</v>
      </c>
      <c r="Z81" s="121">
        <f t="shared" si="40"/>
        <v>1</v>
      </c>
      <c r="AA81" s="115">
        <f t="shared" si="40"/>
        <v>1</v>
      </c>
      <c r="AB81" s="101">
        <f t="shared" si="40"/>
        <v>1</v>
      </c>
    </row>
    <row r="82" ht="7.5" customHeight="1">
      <c r="A82" s="54"/>
      <c r="Q82" s="54"/>
      <c r="S82" s="54"/>
      <c r="AI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  <c r="T83" s="130" t="s">
        <v>125</v>
      </c>
      <c r="U83" s="131"/>
      <c r="V83" s="131"/>
      <c r="W83" s="32"/>
      <c r="Z83" s="132" t="s">
        <v>126</v>
      </c>
      <c r="AA83" s="133" t="s">
        <v>127</v>
      </c>
      <c r="AB83" s="133" t="s">
        <v>128</v>
      </c>
      <c r="AC83" s="133" t="s">
        <v>129</v>
      </c>
      <c r="AD83" s="133" t="s">
        <v>130</v>
      </c>
      <c r="AE83" s="133" t="s">
        <v>131</v>
      </c>
      <c r="AF83" s="134"/>
      <c r="AG83" s="133" t="s">
        <v>132</v>
      </c>
      <c r="AH83" s="133" t="s">
        <v>133</v>
      </c>
      <c r="AI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2.504</v>
      </c>
      <c r="K84" s="139">
        <f>1+( (H6-10)+H33+H34+H35+H39+H47+H48+H49+H55)%</f>
        <v>5.03</v>
      </c>
      <c r="L84" s="139">
        <f>( (H6-5)+H12+H24)%</f>
        <v>1.01</v>
      </c>
      <c r="M84" s="139">
        <f>1+(H3+H9)%</f>
        <v>2.605</v>
      </c>
      <c r="N84" s="139"/>
      <c r="O84" s="140">
        <f>I84*J84*K84</f>
        <v>13.3508272</v>
      </c>
      <c r="P84" s="140">
        <f>I84*J84*(K84+L84)*M84</f>
        <v>41.76234301</v>
      </c>
      <c r="Q84" s="142"/>
      <c r="T84" s="136">
        <v>1.0</v>
      </c>
      <c r="U84" s="137" t="s">
        <v>134</v>
      </c>
      <c r="W84" s="42"/>
      <c r="Z84" s="138"/>
      <c r="AA84" s="139">
        <f>1+(Z30)%</f>
        <v>1.06</v>
      </c>
      <c r="AB84" s="139">
        <f>1+(Z15+Z18+Z21+Z27)%</f>
        <v>2.504</v>
      </c>
      <c r="AC84" s="139">
        <f>1+( (Z6-10)+Z33+Z34+Z35+Z39+Z47+Z48+Z49+Z55)%</f>
        <v>5.03</v>
      </c>
      <c r="AD84" s="139">
        <f>( (Z6-5)+Z12+Z24)%</f>
        <v>1.01</v>
      </c>
      <c r="AE84" s="139">
        <f>1+(Z3+Z9)%</f>
        <v>2.605</v>
      </c>
      <c r="AF84" s="139"/>
      <c r="AG84" s="140">
        <f>AA84*AB84*AC84</f>
        <v>13.3508272</v>
      </c>
      <c r="AH84" s="140">
        <f>AA84*AB84*(AC84+AD84)*AE84</f>
        <v>41.76234301</v>
      </c>
      <c r="AI84" s="142"/>
    </row>
    <row r="85" ht="18.75" customHeight="1">
      <c r="B85" s="143"/>
      <c r="C85" s="137" t="s">
        <v>135</v>
      </c>
      <c r="D85" s="144">
        <v>1.07543896E8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  <c r="T85" s="143"/>
      <c r="U85" s="137" t="s">
        <v>135</v>
      </c>
      <c r="V85" s="144">
        <v>1.07543896E8</v>
      </c>
      <c r="W85" s="145"/>
      <c r="Z85" s="146" t="s">
        <v>136</v>
      </c>
      <c r="AA85" s="97" t="s">
        <v>127</v>
      </c>
      <c r="AB85" s="97" t="s">
        <v>137</v>
      </c>
      <c r="AC85" s="97" t="s">
        <v>25</v>
      </c>
      <c r="AD85" s="97"/>
      <c r="AE85" s="97"/>
      <c r="AF85" s="100"/>
      <c r="AG85" s="97" t="s">
        <v>132</v>
      </c>
      <c r="AH85" s="97" t="s">
        <v>133</v>
      </c>
      <c r="AI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9.935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10.485</v>
      </c>
      <c r="P86" s="140">
        <f>I86+J86</f>
        <v>10.745</v>
      </c>
      <c r="Q86" s="149">
        <f>I86+J86+K86</f>
        <v>11.295</v>
      </c>
      <c r="T86" s="136">
        <v>2.0</v>
      </c>
      <c r="U86" s="137" t="s">
        <v>139</v>
      </c>
      <c r="W86" s="42"/>
      <c r="Z86" s="148"/>
      <c r="AA86" s="139">
        <f>1.75+(Y18+Y27+Y47+Y48+Y55)%</f>
        <v>9.935</v>
      </c>
      <c r="AB86" s="139">
        <f>(Y12+Y24)%</f>
        <v>0.81</v>
      </c>
      <c r="AC86" s="139">
        <f>(AI48)%</f>
        <v>0.55</v>
      </c>
      <c r="AD86" s="139"/>
      <c r="AE86" s="139"/>
      <c r="AF86" s="139"/>
      <c r="AG86" s="140">
        <f>AA86+AC86</f>
        <v>10.485</v>
      </c>
      <c r="AH86" s="140">
        <f>AA86+AB86</f>
        <v>10.745</v>
      </c>
      <c r="AI86" s="149">
        <f>AA86+AB86+AC86</f>
        <v>11.295</v>
      </c>
    </row>
    <row r="87" ht="18.75" customHeight="1">
      <c r="B87" s="143"/>
      <c r="C87" s="150" t="s">
        <v>140</v>
      </c>
      <c r="D87" s="151">
        <f>if(or((D85/P95/P84-C43)/C44/2&lt;800,(D85/P95/P84-C43)/C44/2&gt;1200), "확인필요", (D85/P95/P84-C43)/C44/2)</f>
        <v>933.7466531</v>
      </c>
      <c r="E87" s="145"/>
      <c r="F87" s="152">
        <f>(D85/P95/P84-C43)/C44/2</f>
        <v>933.7466531</v>
      </c>
      <c r="H87" s="153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  <c r="T87" s="143"/>
      <c r="U87" s="150" t="s">
        <v>140</v>
      </c>
      <c r="V87" s="151" t="str">
        <f>if(or((V85/AH95/AH84-U43)/U44/2&lt;800,(V85/AH95/AH84-U43)/U44/2&gt;1200), "확인필요", (V85/AH95/AH84-U43)/U44/2)</f>
        <v>확인필요</v>
      </c>
      <c r="W87" s="145"/>
      <c r="X87" s="152">
        <f>(V85/AH95/AH84-U43)/U44/2</f>
        <v>52214.84541</v>
      </c>
      <c r="Z87" s="153" t="s">
        <v>141</v>
      </c>
      <c r="AA87" s="97" t="s">
        <v>142</v>
      </c>
      <c r="AB87" s="97" t="s">
        <v>5</v>
      </c>
      <c r="AC87" s="97" t="s">
        <v>0</v>
      </c>
      <c r="AD87" s="97"/>
      <c r="AE87" s="97"/>
      <c r="AF87" s="100"/>
      <c r="AG87" s="97"/>
      <c r="AH87" s="97"/>
      <c r="AI87" s="147"/>
    </row>
    <row r="88" ht="18.75" customHeight="1">
      <c r="B88" s="136">
        <v>3.0</v>
      </c>
      <c r="C88" s="137" t="s">
        <v>143</v>
      </c>
      <c r="E88" s="42"/>
      <c r="H88" s="154"/>
      <c r="I88" s="155">
        <f>F52+F38</f>
        <v>4</v>
      </c>
      <c r="J88" s="155">
        <f>F6+F18+F27+F34+F37+F39</f>
        <v>50</v>
      </c>
      <c r="K88" s="155">
        <f>F47+F48</f>
        <v>64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  <c r="T88" s="136">
        <v>3.0</v>
      </c>
      <c r="U88" s="137" t="s">
        <v>143</v>
      </c>
      <c r="W88" s="42"/>
      <c r="Z88" s="154"/>
      <c r="AA88" s="155">
        <f>X52+X38</f>
        <v>4</v>
      </c>
      <c r="AB88" s="155">
        <f>X6+X18+X27+X34+X37+X39</f>
        <v>50</v>
      </c>
      <c r="AC88" s="155">
        <f>X47+X48</f>
        <v>64</v>
      </c>
      <c r="AD88" s="139"/>
      <c r="AE88" s="139"/>
      <c r="AF88" s="139"/>
      <c r="AG88" s="156"/>
      <c r="AH88" s="157">
        <f>if(
AA88+AB88+if(AC88&gt;50,50,AC88) &gt;100,
100,
AA88+AB88+if(AC88&gt;50,50,AC88)
)</f>
        <v>100</v>
      </c>
      <c r="AI88" s="158"/>
    </row>
    <row r="89" ht="18.75" customHeight="1">
      <c r="B89" s="159"/>
      <c r="C89" s="160" t="s">
        <v>135</v>
      </c>
      <c r="D89" s="161">
        <v>933.75</v>
      </c>
      <c r="E89" s="145"/>
      <c r="H89" s="153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  <c r="T89" s="159"/>
      <c r="U89" s="160" t="s">
        <v>135</v>
      </c>
      <c r="V89" s="161">
        <v>933.75</v>
      </c>
      <c r="W89" s="145"/>
      <c r="Z89" s="153" t="s">
        <v>10</v>
      </c>
      <c r="AA89" s="97" t="s">
        <v>84</v>
      </c>
      <c r="AB89" s="97" t="s">
        <v>5</v>
      </c>
      <c r="AC89" s="97" t="s">
        <v>0</v>
      </c>
      <c r="AD89" s="97"/>
      <c r="AE89" s="97"/>
      <c r="AF89" s="100"/>
      <c r="AG89" s="97" t="s">
        <v>6</v>
      </c>
      <c r="AH89" s="97" t="s">
        <v>145</v>
      </c>
      <c r="AI89" s="147" t="s">
        <v>146</v>
      </c>
    </row>
    <row r="90" ht="18.75" customHeight="1">
      <c r="H90" s="154"/>
      <c r="I90" s="155" t="str">
        <f>E40</f>
        <v/>
      </c>
      <c r="J90" s="155">
        <f>E6+E27+E36+E39</f>
        <v>57</v>
      </c>
      <c r="K90" s="155">
        <f>E47+E48</f>
        <v>32</v>
      </c>
      <c r="L90" s="139"/>
      <c r="M90" s="139"/>
      <c r="N90" s="139"/>
      <c r="O90" s="162">
        <f>C44 * (1-J90%-K90%) / (1 + I90% + E45)</f>
        <v>0.05330396476</v>
      </c>
      <c r="P90" s="163">
        <f>ifs(
O90&lt;0.25, 0.25,
true, O90
)
</f>
        <v>0.25</v>
      </c>
      <c r="Q90" s="149">
        <f>ifs(
C45&gt;0, P90,
P90&lt;0.5, 0.5,
true, P90
)
</f>
        <v>0.25</v>
      </c>
      <c r="Z90" s="154"/>
      <c r="AA90" s="155" t="str">
        <f>W40</f>
        <v/>
      </c>
      <c r="AB90" s="155">
        <f>W6+W27+W36+W39</f>
        <v>57</v>
      </c>
      <c r="AC90" s="155">
        <f>W47+W48</f>
        <v>32</v>
      </c>
      <c r="AD90" s="139"/>
      <c r="AE90" s="139"/>
      <c r="AF90" s="139"/>
      <c r="AG90" s="162">
        <f>U44 * (1-AB90%-AC90%) / (1 + AA90% + W45)</f>
        <v>0.05330396476</v>
      </c>
      <c r="AH90" s="163">
        <f>ifs(
AG90&lt;0.25, 0.25,
true, AG90
)
</f>
        <v>0.25</v>
      </c>
      <c r="AI90" s="149">
        <f>ifs(
U45&gt;0, AH90,
AH90&lt;0.5, 0.5,
true, AH90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  <c r="T91" s="164"/>
      <c r="U91" s="165" t="s">
        <v>133</v>
      </c>
      <c r="V91" s="165" t="s">
        <v>132</v>
      </c>
      <c r="W91" s="167"/>
      <c r="Z91" s="146" t="s">
        <v>148</v>
      </c>
      <c r="AA91" s="97" t="s">
        <v>127</v>
      </c>
      <c r="AB91" s="97" t="s">
        <v>137</v>
      </c>
      <c r="AC91" s="97"/>
      <c r="AD91" s="97"/>
      <c r="AE91" s="97"/>
      <c r="AF91" s="100"/>
      <c r="AG91" s="97" t="s">
        <v>132</v>
      </c>
      <c r="AH91" s="97" t="s">
        <v>133</v>
      </c>
      <c r="AI91" s="147"/>
    </row>
    <row r="92" ht="18.75" customHeight="1">
      <c r="A92" s="29"/>
      <c r="B92" s="168" t="s">
        <v>14</v>
      </c>
      <c r="C92" s="169">
        <f>(C43+2*D89*C44)*P84*P95</f>
        <v>107543896.8</v>
      </c>
      <c r="D92" s="170">
        <f>(C43+2*D89*C44)*O84*O95</f>
        <v>33098365.86</v>
      </c>
      <c r="E92" s="171"/>
      <c r="H92" s="148"/>
      <c r="I92" s="155">
        <f>D15+D21+D27+D33+D34+D39+D47+D48</f>
        <v>291</v>
      </c>
      <c r="J92" s="155">
        <f>D12</f>
        <v>50</v>
      </c>
      <c r="K92" s="155"/>
      <c r="L92" s="155"/>
      <c r="M92" s="155"/>
      <c r="N92" s="155"/>
      <c r="O92" s="172">
        <f>I92</f>
        <v>291</v>
      </c>
      <c r="P92" s="172">
        <f>I92+J92</f>
        <v>341</v>
      </c>
      <c r="Q92" s="158"/>
      <c r="S92" s="29"/>
      <c r="T92" s="168" t="s">
        <v>14</v>
      </c>
      <c r="U92" s="169">
        <f>(U43+2*V89*U44)*AH84*AH95</f>
        <v>96236149.28</v>
      </c>
      <c r="V92" s="170">
        <f>(U43+2*V89*U44)*AG84*AG95</f>
        <v>30765328.45</v>
      </c>
      <c r="W92" s="171"/>
      <c r="Z92" s="148"/>
      <c r="AA92" s="155">
        <f>V15+V21+V27+V33+V34+V39+V47+V48</f>
        <v>291</v>
      </c>
      <c r="AB92" s="155">
        <f>V12</f>
        <v>50</v>
      </c>
      <c r="AC92" s="155"/>
      <c r="AD92" s="155"/>
      <c r="AE92" s="155"/>
      <c r="AF92" s="155"/>
      <c r="AG92" s="172">
        <f>AA92</f>
        <v>291</v>
      </c>
      <c r="AH92" s="172">
        <f>AA92+AB92</f>
        <v>341</v>
      </c>
      <c r="AI92" s="158"/>
    </row>
    <row r="93" ht="18.75" customHeight="1">
      <c r="A93" s="29"/>
      <c r="B93" s="173" t="s">
        <v>149</v>
      </c>
      <c r="C93" s="174">
        <f>C92/P90</f>
        <v>430175587.3</v>
      </c>
      <c r="D93" s="175">
        <f>D92/P90</f>
        <v>132393463.4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  <c r="S93" s="29"/>
      <c r="T93" s="173" t="s">
        <v>149</v>
      </c>
      <c r="U93" s="174">
        <f>U92/AH90</f>
        <v>384944597.1</v>
      </c>
      <c r="V93" s="175">
        <f>V92/AH90</f>
        <v>123061313.8</v>
      </c>
      <c r="W93" s="176"/>
      <c r="Z93" s="146" t="s">
        <v>150</v>
      </c>
      <c r="AA93" s="97" t="s">
        <v>127</v>
      </c>
      <c r="AB93" s="97" t="s">
        <v>137</v>
      </c>
      <c r="AC93" s="97" t="s">
        <v>128</v>
      </c>
      <c r="AD93" s="97" t="s">
        <v>129</v>
      </c>
      <c r="AE93" s="97" t="s">
        <v>131</v>
      </c>
      <c r="AF93" s="99"/>
      <c r="AG93" s="97" t="s">
        <v>132</v>
      </c>
      <c r="AH93" s="97" t="s">
        <v>133</v>
      </c>
      <c r="AI93" s="177"/>
    </row>
    <row r="94" ht="18.75" customHeight="1">
      <c r="H94" s="138" t="s">
        <v>151</v>
      </c>
      <c r="I94" s="54">
        <f>G62</f>
        <v>1.391</v>
      </c>
      <c r="J94" s="54">
        <f>I62</f>
        <v>1.441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41">I94*K94*L94*M94</f>
        <v>1.391</v>
      </c>
      <c r="P94" s="178">
        <f t="shared" ref="P94:P95" si="42">J94*K94*L94*M94</f>
        <v>1.441</v>
      </c>
      <c r="Q94" s="179"/>
      <c r="Z94" s="138" t="s">
        <v>151</v>
      </c>
      <c r="AA94" s="54">
        <f>Y62</f>
        <v>1.3</v>
      </c>
      <c r="AB94" s="54">
        <f>AA62</f>
        <v>1.3</v>
      </c>
      <c r="AC94" s="54">
        <f>AA68</f>
        <v>1</v>
      </c>
      <c r="AD94" s="54">
        <f>AA74</f>
        <v>1</v>
      </c>
      <c r="AE94" s="54">
        <f>AA81</f>
        <v>1</v>
      </c>
      <c r="AF94" s="54"/>
      <c r="AG94" s="178">
        <f t="shared" ref="AG94:AG95" si="43">AA94*AC94*AD94*AE94</f>
        <v>1.3</v>
      </c>
      <c r="AH94" s="178">
        <f t="shared" ref="AH94:AH95" si="44">AB94*AC94*AD94*AE94</f>
        <v>1.3</v>
      </c>
      <c r="AI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1.291</v>
      </c>
      <c r="J95" s="54">
        <f>J62</f>
        <v>1.341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41"/>
        <v>1.291</v>
      </c>
      <c r="P95" s="178">
        <f t="shared" si="42"/>
        <v>1.341</v>
      </c>
      <c r="Q95" s="179"/>
      <c r="T95" s="180"/>
      <c r="U95" s="181"/>
      <c r="V95" s="181"/>
      <c r="W95" s="182"/>
      <c r="Z95" s="138" t="s">
        <v>14</v>
      </c>
      <c r="AA95" s="54">
        <f>Z62</f>
        <v>1.2</v>
      </c>
      <c r="AB95" s="54">
        <f>AB62</f>
        <v>1.2</v>
      </c>
      <c r="AC95" s="54">
        <f>AB68</f>
        <v>1</v>
      </c>
      <c r="AD95" s="54">
        <f>AB74</f>
        <v>1</v>
      </c>
      <c r="AE95" s="54">
        <f>AB81</f>
        <v>1</v>
      </c>
      <c r="AF95" s="54"/>
      <c r="AG95" s="178">
        <f t="shared" si="43"/>
        <v>1.2</v>
      </c>
      <c r="AH95" s="178">
        <f t="shared" si="44"/>
        <v>1.2</v>
      </c>
      <c r="AI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  <c r="T96" s="183"/>
      <c r="U96" s="184" t="s">
        <v>152</v>
      </c>
      <c r="V96" s="185"/>
      <c r="W96" s="186"/>
      <c r="X96" s="54"/>
      <c r="Y96" s="54"/>
      <c r="Z96" s="146" t="s">
        <v>153</v>
      </c>
      <c r="AA96" s="97" t="s">
        <v>16</v>
      </c>
      <c r="AB96" s="97" t="s">
        <v>18</v>
      </c>
      <c r="AC96" s="97" t="s">
        <v>19</v>
      </c>
      <c r="AD96" s="97" t="s">
        <v>20</v>
      </c>
      <c r="AE96" s="97" t="s">
        <v>21</v>
      </c>
      <c r="AF96" s="97" t="s">
        <v>63</v>
      </c>
      <c r="AG96" s="97"/>
      <c r="AH96" s="97"/>
      <c r="AI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>1+(J18+J47+J48+N27)%</f>
        <v>4.63</v>
      </c>
      <c r="K97" s="187">
        <f>1+(K18+K47+K48+N27)%</f>
        <v>1.45</v>
      </c>
      <c r="L97" s="187">
        <f>1+(L18+L47+L48+N27)%</f>
        <v>1.45</v>
      </c>
      <c r="M97" s="187">
        <f>1+(M18+M47+M48+N27)%</f>
        <v>1.45</v>
      </c>
      <c r="N97" s="187">
        <f>J97</f>
        <v>4.63</v>
      </c>
      <c r="O97" s="187"/>
      <c r="P97" s="187"/>
      <c r="Q97" s="188"/>
      <c r="T97" s="183"/>
      <c r="U97" s="185"/>
      <c r="V97" s="185"/>
      <c r="W97" s="186"/>
      <c r="X97" s="54"/>
      <c r="Y97" s="54"/>
      <c r="Z97" s="138" t="s">
        <v>154</v>
      </c>
      <c r="AA97" s="187">
        <f>1+(AA3+AA18+AA47+AA48+AF27)%</f>
        <v>2.21</v>
      </c>
      <c r="AB97" s="187">
        <f>1+(AB18+AB47+AB48+AF27)%</f>
        <v>4.63</v>
      </c>
      <c r="AC97" s="187">
        <f>1+(AC18+AC47+AC48+AF27)%</f>
        <v>1.45</v>
      </c>
      <c r="AD97" s="187">
        <f>1+(AD18+AD47+AD48+AF27)%</f>
        <v>1.45</v>
      </c>
      <c r="AE97" s="187">
        <f>1+(AE18+AE47+AE48+AF27)%</f>
        <v>1.45</v>
      </c>
      <c r="AF97" s="187">
        <f>AB97</f>
        <v>4.63</v>
      </c>
      <c r="AG97" s="187"/>
      <c r="AH97" s="187"/>
      <c r="AI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>J97*(1+(O46+O48)%)</f>
        <v>4.63</v>
      </c>
      <c r="K98" s="193">
        <f>K97*(1+(O46+O48)%)</f>
        <v>1.45</v>
      </c>
      <c r="L98" s="193">
        <f>L97*(1+(O46+O48)%)</f>
        <v>1.45</v>
      </c>
      <c r="M98" s="193">
        <f>M97*(1+(O46+O48)%)</f>
        <v>1.45</v>
      </c>
      <c r="N98" s="193">
        <f>N97*(1+P48%)</f>
        <v>4.8615</v>
      </c>
      <c r="O98" s="193"/>
      <c r="P98" s="193"/>
      <c r="Q98" s="194"/>
      <c r="T98" s="189"/>
      <c r="U98" s="190"/>
      <c r="V98" s="190"/>
      <c r="W98" s="191"/>
      <c r="X98" s="54"/>
      <c r="Y98" s="54"/>
      <c r="Z98" s="192" t="s">
        <v>156</v>
      </c>
      <c r="AA98" s="193">
        <f>AA97*(1+(AG46+AG48)%)</f>
        <v>2.21</v>
      </c>
      <c r="AB98" s="193">
        <f>AB97*(1+(AG46+AG48)%)</f>
        <v>4.63</v>
      </c>
      <c r="AC98" s="193">
        <f>AC97*(1+(AG46+AG48)%)</f>
        <v>1.45</v>
      </c>
      <c r="AD98" s="193">
        <f>AD97*(1+(AG46+AG48)%)</f>
        <v>1.45</v>
      </c>
      <c r="AE98" s="193">
        <f>AE97*(1+(AG46+AG48)%)</f>
        <v>1.45</v>
      </c>
      <c r="AF98" s="193">
        <f>AF97*(1+AH48%)</f>
        <v>4.8615</v>
      </c>
      <c r="AG98" s="193"/>
      <c r="AH98" s="193"/>
      <c r="AI98" s="194"/>
    </row>
    <row r="99" ht="7.5" customHeight="1"/>
    <row r="100" ht="18.75" customHeight="1">
      <c r="A100" s="195" t="s">
        <v>158</v>
      </c>
      <c r="C100" s="195" t="s">
        <v>151</v>
      </c>
      <c r="S100" s="195" t="s">
        <v>158</v>
      </c>
      <c r="U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  <c r="S101" s="196" t="b">
        <v>0</v>
      </c>
      <c r="T101" s="31" t="s">
        <v>128</v>
      </c>
      <c r="U101" s="197" t="s">
        <v>159</v>
      </c>
      <c r="V101" s="105" t="s">
        <v>132</v>
      </c>
      <c r="X101" s="105" t="s">
        <v>16</v>
      </c>
      <c r="Z101" s="105" t="s">
        <v>18</v>
      </c>
      <c r="AB101" s="105" t="s">
        <v>19</v>
      </c>
      <c r="AD101" s="105" t="s">
        <v>20</v>
      </c>
      <c r="AF101" s="105" t="s">
        <v>21</v>
      </c>
      <c r="AH101" s="54"/>
    </row>
    <row r="102" ht="18.75" customHeight="1">
      <c r="A102" s="198" t="b">
        <v>1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1817.800275</v>
      </c>
      <c r="F102" s="199">
        <f>C92*P86*P94/P95*I98
/
ifs(
A101=true,1000000000,
A102=true,1000000,
A103=true,1000,
true,1
)</f>
        <v>2744.224678</v>
      </c>
      <c r="H102" s="199">
        <f>C92*Q86*P94/P95*J98
/
ifs(
A101=true,1000000000,
A102=true,1000000,
A103=true,1000,
true,1
)</f>
        <v>6043.495432</v>
      </c>
      <c r="J102" s="199">
        <f>C92*P86*P94/P95*K98
/
ifs(
A101=true,1000000000,
A102=true,1000000,
A103=true,1000,
true,1
)</f>
        <v>1800.509404</v>
      </c>
      <c r="L102" s="199">
        <f>C92*P86*P94/P95*L98
/
ifs(
A101=true,1000000000,
A102=true,1000000,
A103=true,1000,
true,1
)</f>
        <v>1800.509404</v>
      </c>
      <c r="N102" s="199">
        <f>C92*P86*P94/P95*M98
/
ifs(
A101=true,1000000000,
A102=true,1000000,
A103=true,1000,
true,1
)</f>
        <v>1800.509404</v>
      </c>
      <c r="P102" s="54"/>
      <c r="S102" s="198" t="b">
        <v>1</v>
      </c>
      <c r="T102" s="31" t="s">
        <v>160</v>
      </c>
      <c r="U102" s="137" t="s">
        <v>161</v>
      </c>
      <c r="V102" s="199">
        <f>V92*AG86*AG94/AG95*AF98
/
ifs(
S101=true,1000000000,
S102=true,1000000,
S103=true,1000,
true,1
)</f>
        <v>1698.878762</v>
      </c>
      <c r="X102" s="199">
        <f>U92*AH86*AH94/AH95*AA98
/
ifs(
S101=true,1000000000,
S102=true,1000000,
S103=true,1000,
true,1
)</f>
        <v>2475.705816</v>
      </c>
      <c r="Z102" s="199">
        <f>U92*AI86*AH94/AH95*AB98
/
ifs(
S101=true,1000000000,
S102=true,1000000,
S103=true,1000,
true,1
)</f>
        <v>5452.147163</v>
      </c>
      <c r="AB102" s="199">
        <f>U92*AH86*AH94/AH95*AC98
/
ifs(
S101=true,1000000000,
S102=true,1000000,
S103=true,1000,
true,1
)</f>
        <v>1624.33187</v>
      </c>
      <c r="AD102" s="199">
        <f>U92*AH86*AH94/AH95*AD98
/
ifs(
S101=true,1000000000,
S102=true,1000000,
S103=true,1000,
true,1
)</f>
        <v>1624.33187</v>
      </c>
      <c r="AF102" s="199">
        <f>U92*AH86*AH94/AH95*AE98
/
ifs(
S101=true,1000000000,
S102=true,1000000,
S103=true,1000,
true,1
)</f>
        <v>1624.33187</v>
      </c>
      <c r="AH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173.3715093</v>
      </c>
      <c r="F103" s="199">
        <f>C92*P94/P95*I98
/
ifs(
A101=true,1000000000,
A102=true,1000000,
A103=true,1000,
true,1
)</f>
        <v>255.3955028</v>
      </c>
      <c r="H103" s="199">
        <f>C92*P94/P95*J98
/
ifs(
A101=true,1000000000,
A102=true,1000000,
A103=true,1000,
true,1
)</f>
        <v>535.0593566</v>
      </c>
      <c r="J103" s="199">
        <f>C92*P94/P95*K98
/
ifs(
A101=true,1000000000,
A102=true,1000000,
A103=true,1000,
true,1
)</f>
        <v>167.5671851</v>
      </c>
      <c r="L103" s="199">
        <f>C92*P94/P95*L98
/
ifs(
A101=true,1000000000,
A102=true,1000000,
A103=true,1000,
true,1
)</f>
        <v>167.5671851</v>
      </c>
      <c r="N103" s="199">
        <f>C92*P94/P95*M98
/
ifs(
A101=true,1000000000,
A102=true,1000000,
A103=true,1000,
true,1
)</f>
        <v>167.5671851</v>
      </c>
      <c r="P103" s="54"/>
      <c r="S103" s="200" t="b">
        <v>0</v>
      </c>
      <c r="T103" s="31" t="s">
        <v>162</v>
      </c>
      <c r="U103" s="137" t="s">
        <v>163</v>
      </c>
      <c r="V103" s="199">
        <f>V92*AG94/AG95*AF98
/
ifs(
S101=true,1000000000,
S102=true,1000000,
S103=true,1000,
true,1
)</f>
        <v>162.0294479</v>
      </c>
      <c r="X103" s="199">
        <f>U92*AH94/AH95*AA98
/
ifs(
S101=true,1000000000,
S102=true,1000000,
S103=true,1000,
true,1
)</f>
        <v>230.4053807</v>
      </c>
      <c r="Z103" s="199">
        <f>U92*AH94/AH95*AB98
/
ifs(
S101=true,1000000000,
S102=true,1000000,
S103=true,1000,
true,1
)</f>
        <v>482.7044854</v>
      </c>
      <c r="AB103" s="199">
        <f>U92*AH94/AH95*AC98
/
ifs(
S101=true,1000000000,
S102=true,1000000,
S103=true,1000,
true,1
)</f>
        <v>151.1709512</v>
      </c>
      <c r="AD103" s="199">
        <f>U92*AH94/AH95*AD98
/
ifs(
S101=true,1000000000,
S102=true,1000000,
S103=true,1000,
true,1
)</f>
        <v>151.1709512</v>
      </c>
      <c r="AF103" s="199">
        <f>U92*AH94/AH95*AE98
/
ifs(
S101=true,1000000000,
S102=true,1000000,
S103=true,1000,
true,1
)</f>
        <v>151.1709512</v>
      </c>
      <c r="AH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7964.687137</v>
      </c>
      <c r="F104" s="201">
        <f>C93*(1+P88%*P86)*P94/P95*I98
/
ifs(
A101=true,1000000000,
A102=true,1000000,
A103=true,1000,
true,1
)</f>
        <v>11998.48072</v>
      </c>
      <c r="H104" s="201">
        <f>C93*(1+P88%*Q86)*P94/P95*J98
/
ifs(
A101=true,1000000000,
A102=true,1000000,
A103=true,1000,
true,1
)</f>
        <v>26314.21916</v>
      </c>
      <c r="J104" s="201">
        <f>C93*(1+P88%*P86)*P94/P95*K98
/
ifs(
A101=true,1000000000,
A102=true,1000000,
A103=true,1000,
true,1
)</f>
        <v>7872.306356</v>
      </c>
      <c r="L104" s="201">
        <f>C93*(1+P88%*P86)*P94/P95*L98
/
ifs(
A101=true,1000000000,
A102=true,1000000,
A103=true,1000,
true,1
)</f>
        <v>7872.306356</v>
      </c>
      <c r="N104" s="201">
        <f>C93*(1+P88%*P86)*P94/P95*M98
/
ifs(
A101=true,1000000000,
A102=true,1000000,
A103=true,1000,
true,1
)</f>
        <v>7872.306356</v>
      </c>
      <c r="P104" s="54"/>
      <c r="S104" s="57"/>
      <c r="U104" s="10" t="s">
        <v>164</v>
      </c>
      <c r="V104" s="201">
        <f>V93*(1+AH88%*AG86)*AG94/AG95*AF98
/
ifs(
S101=true,1000000000,
S102=true,1000000,
S103=true,1000,
true,1
)</f>
        <v>7443.632839</v>
      </c>
      <c r="X104" s="201">
        <f>U93*(1+AH88%*AH86)*AH94/AH95*AA98
/
ifs(
S101=true,1000000000,
S102=true,1000000,
S103=true,1000,
true,1
)</f>
        <v>10824.44479</v>
      </c>
      <c r="Z104" s="201">
        <f>U93*(1+AH88%*AI86)*AH94/AH95*AB98
/
ifs(
S101=true,1000000000,
S102=true,1000000,
S103=true,1000,
true,1
)</f>
        <v>23739.40659</v>
      </c>
      <c r="AB104" s="201">
        <f>U93*(1+AH88%*AH86)*AH94/AH95*AC98
/
ifs(
S101=true,1000000000,
S102=true,1000000,
S103=true,1000,
true,1
)</f>
        <v>7102.011286</v>
      </c>
      <c r="AD104" s="201">
        <f>U93*(1+AH88%*AH86)*AH94/AH95*AD98
/
ifs(
S101=true,1000000000,
S102=true,1000000,
S103=true,1000,
true,1
)</f>
        <v>7102.011286</v>
      </c>
      <c r="AF104" s="201">
        <f>U93*(1+AH88%*AH86)*AH94/AH95*AE98
/
ifs(
S101=true,1000000000,
S102=true,1000000,
S103=true,1000,
true,1
)</f>
        <v>7102.011286</v>
      </c>
      <c r="AH104" s="54"/>
    </row>
  </sheetData>
  <mergeCells count="191">
    <mergeCell ref="D87:E87"/>
    <mergeCell ref="V87:W87"/>
    <mergeCell ref="B88:B89"/>
    <mergeCell ref="C88:E88"/>
    <mergeCell ref="D89:E89"/>
    <mergeCell ref="T88:T89"/>
    <mergeCell ref="U88:W88"/>
    <mergeCell ref="V89:W89"/>
    <mergeCell ref="B90:E90"/>
    <mergeCell ref="T90:W90"/>
    <mergeCell ref="D91:E91"/>
    <mergeCell ref="V91:W91"/>
    <mergeCell ref="D92:E92"/>
    <mergeCell ref="V92:W92"/>
    <mergeCell ref="D93:E93"/>
    <mergeCell ref="V93:W93"/>
    <mergeCell ref="A99:Q99"/>
    <mergeCell ref="S99:AI99"/>
    <mergeCell ref="A100:B100"/>
    <mergeCell ref="C100:Q100"/>
    <mergeCell ref="U100:AI100"/>
    <mergeCell ref="S100:T100"/>
    <mergeCell ref="D101:E101"/>
    <mergeCell ref="F101:G101"/>
    <mergeCell ref="H101:I101"/>
    <mergeCell ref="J101:K101"/>
    <mergeCell ref="L101:M101"/>
    <mergeCell ref="N101:O101"/>
    <mergeCell ref="P101:Q101"/>
    <mergeCell ref="V101:W101"/>
    <mergeCell ref="X101:Y101"/>
    <mergeCell ref="Z101:AA101"/>
    <mergeCell ref="AB101:AC101"/>
    <mergeCell ref="AD101:AE101"/>
    <mergeCell ref="AF101:AG101"/>
    <mergeCell ref="AH101:AI101"/>
    <mergeCell ref="AH102:AI102"/>
    <mergeCell ref="AH103:AI103"/>
    <mergeCell ref="D102:E102"/>
    <mergeCell ref="F102:G102"/>
    <mergeCell ref="K65:Q68"/>
    <mergeCell ref="A69:P69"/>
    <mergeCell ref="H102:I102"/>
    <mergeCell ref="J102:K102"/>
    <mergeCell ref="L102:M102"/>
    <mergeCell ref="N102:O102"/>
    <mergeCell ref="P102:Q102"/>
    <mergeCell ref="V102:W102"/>
    <mergeCell ref="X102:Y102"/>
    <mergeCell ref="Z102:AA102"/>
    <mergeCell ref="AB102:AC102"/>
    <mergeCell ref="AD102:AE102"/>
    <mergeCell ref="P103:Q103"/>
    <mergeCell ref="V103:W103"/>
    <mergeCell ref="AF103:AG103"/>
    <mergeCell ref="A104:B104"/>
    <mergeCell ref="D104:E104"/>
    <mergeCell ref="F104:G104"/>
    <mergeCell ref="H104:I104"/>
    <mergeCell ref="J104:K104"/>
    <mergeCell ref="L104:M104"/>
    <mergeCell ref="AF104:AG104"/>
    <mergeCell ref="B1:C1"/>
    <mergeCell ref="B2:C2"/>
    <mergeCell ref="R2:R104"/>
    <mergeCell ref="A4:P4"/>
    <mergeCell ref="S4:AH4"/>
    <mergeCell ref="B5:C5"/>
    <mergeCell ref="B8:C8"/>
    <mergeCell ref="X103:Y103"/>
    <mergeCell ref="Z103:AA103"/>
    <mergeCell ref="AB103:AC103"/>
    <mergeCell ref="AD103:AE103"/>
    <mergeCell ref="AF102:AG102"/>
    <mergeCell ref="D103:E103"/>
    <mergeCell ref="F103:G103"/>
    <mergeCell ref="H103:I103"/>
    <mergeCell ref="J103:K103"/>
    <mergeCell ref="L103:M103"/>
    <mergeCell ref="N103:O103"/>
    <mergeCell ref="N104:O104"/>
    <mergeCell ref="P104:Q104"/>
    <mergeCell ref="S104:T104"/>
    <mergeCell ref="V104:W104"/>
    <mergeCell ref="X104:Y104"/>
    <mergeCell ref="Z104:AA104"/>
    <mergeCell ref="AB104:AC104"/>
    <mergeCell ref="AD104:AE104"/>
    <mergeCell ref="AH104:AI104"/>
    <mergeCell ref="T2:U2"/>
    <mergeCell ref="T5:U5"/>
    <mergeCell ref="A7:P7"/>
    <mergeCell ref="S7:AH7"/>
    <mergeCell ref="T1:U1"/>
    <mergeCell ref="T8:U8"/>
    <mergeCell ref="A10:P10"/>
    <mergeCell ref="S10:AH10"/>
    <mergeCell ref="B11:C12"/>
    <mergeCell ref="T11:U12"/>
    <mergeCell ref="A13:P13"/>
    <mergeCell ref="S13:AH13"/>
    <mergeCell ref="A16:P16"/>
    <mergeCell ref="S16:AH16"/>
    <mergeCell ref="B14:C15"/>
    <mergeCell ref="T14:U15"/>
    <mergeCell ref="B17:C18"/>
    <mergeCell ref="T17:U18"/>
    <mergeCell ref="A19:P19"/>
    <mergeCell ref="S19:AH19"/>
    <mergeCell ref="B20:C21"/>
    <mergeCell ref="T20:U21"/>
    <mergeCell ref="A22:P22"/>
    <mergeCell ref="S22:AH22"/>
    <mergeCell ref="B23:C24"/>
    <mergeCell ref="T23:U24"/>
    <mergeCell ref="A25:P25"/>
    <mergeCell ref="S25:AH25"/>
    <mergeCell ref="A28:P28"/>
    <mergeCell ref="S28:AH28"/>
    <mergeCell ref="B29:C29"/>
    <mergeCell ref="T29:U29"/>
    <mergeCell ref="A31:P31"/>
    <mergeCell ref="S31:AH31"/>
    <mergeCell ref="B32:C32"/>
    <mergeCell ref="T32:U32"/>
    <mergeCell ref="A41:P41"/>
    <mergeCell ref="S41:AH41"/>
    <mergeCell ref="B42:C42"/>
    <mergeCell ref="T42:U42"/>
    <mergeCell ref="A50:P50"/>
    <mergeCell ref="S50:AH50"/>
    <mergeCell ref="B51:C51"/>
    <mergeCell ref="T51:U51"/>
    <mergeCell ref="A53:P53"/>
    <mergeCell ref="S53:AH53"/>
    <mergeCell ref="B54:C54"/>
    <mergeCell ref="T54:U54"/>
    <mergeCell ref="A56:P56"/>
    <mergeCell ref="S56:AH56"/>
    <mergeCell ref="B57:C57"/>
    <mergeCell ref="G57:H57"/>
    <mergeCell ref="I57:J57"/>
    <mergeCell ref="T57:U57"/>
    <mergeCell ref="Y57:Z57"/>
    <mergeCell ref="AA57:AB57"/>
    <mergeCell ref="B26:C27"/>
    <mergeCell ref="T26:U27"/>
    <mergeCell ref="K58:Q62"/>
    <mergeCell ref="AC58:AI62"/>
    <mergeCell ref="A63:P63"/>
    <mergeCell ref="S63:AH63"/>
    <mergeCell ref="B64:C64"/>
    <mergeCell ref="G64:H64"/>
    <mergeCell ref="I64:J64"/>
    <mergeCell ref="T64:U64"/>
    <mergeCell ref="Y64:Z64"/>
    <mergeCell ref="AA64:AB64"/>
    <mergeCell ref="AC65:AI68"/>
    <mergeCell ref="S69:AH69"/>
    <mergeCell ref="B70:C70"/>
    <mergeCell ref="G70:H70"/>
    <mergeCell ref="I70:J70"/>
    <mergeCell ref="T70:U70"/>
    <mergeCell ref="Y70:Z70"/>
    <mergeCell ref="AA70:AB70"/>
    <mergeCell ref="K71:Q74"/>
    <mergeCell ref="AC71:AI74"/>
    <mergeCell ref="A75:P75"/>
    <mergeCell ref="S75:AH75"/>
    <mergeCell ref="B76:C76"/>
    <mergeCell ref="G76:H76"/>
    <mergeCell ref="I76:J76"/>
    <mergeCell ref="T76:U76"/>
    <mergeCell ref="Y76:Z76"/>
    <mergeCell ref="AA76:AB76"/>
    <mergeCell ref="K77:Q81"/>
    <mergeCell ref="AC77:AI81"/>
    <mergeCell ref="A82:P82"/>
    <mergeCell ref="S82:AH82"/>
    <mergeCell ref="B83:E83"/>
    <mergeCell ref="T83:W83"/>
    <mergeCell ref="B84:B85"/>
    <mergeCell ref="C84:E84"/>
    <mergeCell ref="D85:E85"/>
    <mergeCell ref="T84:T85"/>
    <mergeCell ref="U84:W84"/>
    <mergeCell ref="V85:W85"/>
    <mergeCell ref="B86:B87"/>
    <mergeCell ref="C86:E86"/>
    <mergeCell ref="T86:T87"/>
    <mergeCell ref="U86:W86"/>
  </mergeCells>
  <conditionalFormatting sqref="C3 U3 C9 U9 D12 G12:H12 V12 Y12:Z12 D15 H15 V15 Z15 F18:M18 X18:AE18 D21 H21 V21 Z21 G24:H24 Y24:Z24 D27:H27 N27 V27:Z27 AF27 C30 H30 U30 Z30 C33:C38 U33:U38 D39:F39 H39 V39:X39 Z39 C40 U40 C43:C46 U43:U46 D47:M48 V47:AE48 O48:Q48 S48:U48 AF48:AI48 C52 U52 G55:H55 Y55:Z55">
    <cfRule type="containsBlanks" dxfId="0" priority="1">
      <formula>LEN(TRIM(C3))=0</formula>
    </cfRule>
  </conditionalFormatting>
  <dataValidations>
    <dataValidation type="list" allowBlank="1" showErrorMessage="1" sqref="C52 U52">
      <formula1>"버서커,팔라딘,레인저,소서러,다크나이트"</formula1>
    </dataValidation>
    <dataValidation type="list" allowBlank="1" showErrorMessage="1" sqref="C33 U33">
      <formula1>"U+,U,L+,L,H+"</formula1>
    </dataValidation>
    <dataValidation type="list" allowBlank="1" showErrorMessage="1" sqref="C46 U46">
      <formula1>"정의2,정의4,정의6,기타"</formula1>
    </dataValidation>
    <dataValidation type="list" allowBlank="1" showErrorMessage="1" sqref="C3 U3">
      <formula1>"1~3,4~10,11~20,순위없음"</formula1>
    </dataValidation>
    <dataValidation type="list" allowBlank="1" showErrorMessage="1" sqref="C36 U36">
      <formula1>"공격속도:보라,공격속도:주황,공격속도:파랑"</formula1>
    </dataValidation>
    <dataValidation type="list" allowBlank="1" showErrorMessage="1" sqref="C40 U40">
      <formula1>"퀴큰 0,퀴큰 1,퀴큰 2,퀴큰 3,퀴큰 4,퀴큰 5"</formula1>
    </dataValidation>
    <dataValidation type="custom" allowBlank="1" showDropDown="1" showInputMessage="1" showErrorMessage="1" prompt="125 이상의 정수 입력" sqref="C9 U9">
      <formula1>and(C9&gt;124, mod(C9,1)=0)</formula1>
    </dataValidation>
    <dataValidation type="list" allowBlank="1" showErrorMessage="1" sqref="C45 U45">
      <formula1>"0,1,2,3,4,5,6,7,8,9,10,11,12,13"</formula1>
    </dataValidation>
    <dataValidation type="list" allowBlank="1" showErrorMessage="1" sqref="C34 U34">
      <formula1>"영웅심리,날쌘돌이,힘이쎈,샤프한,달리기가빠른,기타"</formula1>
    </dataValidation>
    <dataValidation type="list" allowBlank="1" showErrorMessage="1" sqref="C37 U37">
      <formula1>"치확:보라,치확:주황,치확:파랑"</formula1>
    </dataValidation>
    <dataValidation type="list" allowBlank="1" showErrorMessage="1" sqref="C38 U38">
      <formula1>"태생치확 +0,태생치확 +1"</formula1>
    </dataValidation>
    <dataValidation type="list" allowBlank="1" showErrorMessage="1" sqref="C30 U30">
      <formula1>"공2,공4,공6"</formula1>
    </dataValidation>
    <dataValidation type="list" allowBlank="1" showErrorMessage="1" sqref="C35 U35">
      <formula1>"공격력:보라,공격력:주황,공격력:파랑"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4" t="s">
        <v>2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411.0</v>
      </c>
      <c r="D9" s="36"/>
      <c r="E9" s="38"/>
      <c r="F9" s="38"/>
      <c r="G9" s="40"/>
      <c r="H9" s="62">
        <f>(C9-125)*0.5</f>
        <v>143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105.0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/>
      <c r="E47" s="75"/>
      <c r="F47" s="75">
        <v>11.0</v>
      </c>
      <c r="G47" s="67">
        <v>37.0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/>
      <c r="E48" s="75">
        <v>16.0</v>
      </c>
      <c r="F48" s="75">
        <v>40.0</v>
      </c>
      <c r="G48" s="67">
        <v>550.0</v>
      </c>
      <c r="H48" s="68">
        <v>276.0</v>
      </c>
      <c r="I48" s="76"/>
      <c r="J48" s="76">
        <v>260.0</v>
      </c>
      <c r="K48" s="76"/>
      <c r="L48" s="76"/>
      <c r="M48" s="92"/>
      <c r="N48" s="50"/>
      <c r="O48" s="93"/>
      <c r="P48" s="94">
        <v>10.0</v>
      </c>
      <c r="Q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94</v>
      </c>
      <c r="D52" s="36"/>
      <c r="E52" s="38"/>
      <c r="F52" s="82">
        <f>ifs(
or(C52="버서커", C52="팔라딘", C52="다크나이트"), 3,
or(C52="레인저", C52="소서러"), 6,
true, ""
)</f>
        <v>6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0</v>
      </c>
      <c r="F58" s="104" t="b">
        <v>0</v>
      </c>
      <c r="G58" s="105" t="str">
        <f t="shared" ref="G58:G59" si="1">if(and(E58=true,D58&gt;0),D58%,"")</f>
        <v/>
      </c>
      <c r="H58" s="97" t="str">
        <f t="shared" ref="H58:H61" si="2">if(F58=true,G58,"")</f>
        <v/>
      </c>
      <c r="I58" s="105" t="str">
        <f t="shared" ref="I58:I59" si="3">if(and(E58=true,D58&gt;0),D58%,"")</f>
        <v/>
      </c>
      <c r="J58" s="97" t="str">
        <f t="shared" ref="J58:J61" si="4">if(F58=true,I58,"")</f>
        <v/>
      </c>
      <c r="K58" s="105" t="s">
        <v>107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0</v>
      </c>
      <c r="F59" s="108" t="b">
        <v>0</v>
      </c>
      <c r="G59" s="105" t="str">
        <f t="shared" si="1"/>
        <v/>
      </c>
      <c r="H59" s="97" t="str">
        <f t="shared" si="2"/>
        <v/>
      </c>
      <c r="I59" s="105" t="str">
        <f t="shared" si="3"/>
        <v/>
      </c>
      <c r="J59" s="97" t="str">
        <f t="shared" si="4"/>
        <v/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0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0</v>
      </c>
      <c r="F61" s="112" t="b">
        <v>0</v>
      </c>
      <c r="G61" s="105" t="str">
        <f>if(E61=true,(if(O92&gt;400,400,O92)*D61%)%,"")</f>
        <v/>
      </c>
      <c r="H61" s="97" t="str">
        <f t="shared" si="2"/>
        <v/>
      </c>
      <c r="I61" s="105" t="str">
        <f>if(E61=true,(if(P92&gt;400,400,P92)*D61%)%,"")</f>
        <v/>
      </c>
      <c r="J61" s="97" t="str">
        <f t="shared" si="4"/>
        <v/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</v>
      </c>
      <c r="H62" s="101">
        <f t="shared" si="5"/>
        <v>1</v>
      </c>
      <c r="I62" s="115">
        <f t="shared" si="5"/>
        <v>1</v>
      </c>
      <c r="J62" s="101">
        <f t="shared" si="5"/>
        <v>1</v>
      </c>
    </row>
    <row r="63" ht="7.5" customHeight="1">
      <c r="A63" s="54"/>
      <c r="Q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116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 ht="7.5" customHeight="1">
      <c r="A69" s="54"/>
      <c r="Q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 ht="7.5" customHeight="1">
      <c r="A75" s="54"/>
      <c r="Q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 ht="7.5" customHeight="1">
      <c r="A82" s="54"/>
      <c r="Q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2.45</v>
      </c>
      <c r="K84" s="139">
        <f>1+( (H6-10)+H33+H34+H35+H39+H47+H48+H49+H55)%</f>
        <v>6.08</v>
      </c>
      <c r="L84" s="139">
        <f>( (H6-5)+H12+H24)%</f>
        <v>1.01</v>
      </c>
      <c r="M84" s="139">
        <f>1+(H3+H9)%</f>
        <v>2.59</v>
      </c>
      <c r="N84" s="139"/>
      <c r="O84" s="140">
        <f>I84*J84*K84</f>
        <v>15.78976</v>
      </c>
      <c r="P84" s="140">
        <f>I84*J84*(K84+L84)*M84</f>
        <v>47.6889707</v>
      </c>
      <c r="Q84" s="142"/>
    </row>
    <row r="85" ht="18.75" customHeight="1">
      <c r="B85" s="143"/>
      <c r="C85" s="137" t="s">
        <v>135</v>
      </c>
      <c r="D85" s="144">
        <v>1.12349016E8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9.325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9.875</v>
      </c>
      <c r="P86" s="140">
        <f>I86+J86</f>
        <v>10.135</v>
      </c>
      <c r="Q86" s="149">
        <f>I86+J86+K86</f>
        <v>10.685</v>
      </c>
    </row>
    <row r="87" ht="18.75" customHeight="1">
      <c r="B87" s="143"/>
      <c r="C87" s="150" t="s">
        <v>140</v>
      </c>
      <c r="D87" s="151" t="str">
        <f>if(or((D85/P95/P84-C43)/C44/2&lt;800,(D85/P95/P84-C43)/C44/2&gt;1200), "확인필요", (D85/P95/P84-C43)/C44/2)</f>
        <v>확인필요</v>
      </c>
      <c r="E87" s="145"/>
      <c r="F87" s="152"/>
      <c r="H87" s="153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 ht="18.75" customHeight="1">
      <c r="B88" s="136">
        <v>3.0</v>
      </c>
      <c r="C88" s="137" t="s">
        <v>143</v>
      </c>
      <c r="E88" s="42"/>
      <c r="H88" s="154"/>
      <c r="I88" s="155">
        <f>F52+F38</f>
        <v>7</v>
      </c>
      <c r="J88" s="155">
        <f>F6+F18+F27+F34+F37+F39</f>
        <v>50</v>
      </c>
      <c r="K88" s="155">
        <f>F47+F48</f>
        <v>51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 ht="18.75" customHeight="1">
      <c r="B89" s="159"/>
      <c r="C89" s="160" t="s">
        <v>135</v>
      </c>
      <c r="D89" s="161">
        <v>933.75</v>
      </c>
      <c r="E89" s="145"/>
      <c r="H89" s="153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 ht="18.75" customHeight="1">
      <c r="H90" s="154"/>
      <c r="I90" s="155" t="str">
        <f>E40</f>
        <v/>
      </c>
      <c r="J90" s="155">
        <f>E6+E27+E36+E39</f>
        <v>57</v>
      </c>
      <c r="K90" s="155">
        <f>E47+E48</f>
        <v>16</v>
      </c>
      <c r="L90" s="139"/>
      <c r="M90" s="139"/>
      <c r="N90" s="139"/>
      <c r="O90" s="162">
        <f>C44 * (1-J90%-K90%) / (1 + I90% + E45)</f>
        <v>0.1308370044</v>
      </c>
      <c r="P90" s="163">
        <f>ifs(
O90&lt;0.25, 0.25,
true, O90
)
</f>
        <v>0.25</v>
      </c>
      <c r="Q90" s="149">
        <f>ifs(
C45&gt;0, P90,
P90&lt;0.5, 0.5,
true, P90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 ht="18.75" customHeight="1">
      <c r="A92" s="29"/>
      <c r="B92" s="168" t="s">
        <v>14</v>
      </c>
      <c r="C92" s="169">
        <f>(C43+2*D89*C44)*P84*P95</f>
        <v>91577774.24</v>
      </c>
      <c r="D92" s="170">
        <f>(C43+2*D89*C44)*O84*O95</f>
        <v>30321289.29</v>
      </c>
      <c r="E92" s="171"/>
      <c r="H92" s="148"/>
      <c r="I92" s="155">
        <f>D15+D21+D27+D33+D34+D39+D47+D48</f>
        <v>200</v>
      </c>
      <c r="J92" s="155">
        <f>D12</f>
        <v>50</v>
      </c>
      <c r="K92" s="155"/>
      <c r="L92" s="155"/>
      <c r="M92" s="155"/>
      <c r="N92" s="155"/>
      <c r="O92" s="172">
        <f>I92</f>
        <v>200</v>
      </c>
      <c r="P92" s="172">
        <f>I92+J92</f>
        <v>250</v>
      </c>
      <c r="Q92" s="158"/>
    </row>
    <row r="93" ht="18.75" customHeight="1">
      <c r="A93" s="29"/>
      <c r="B93" s="173" t="s">
        <v>149</v>
      </c>
      <c r="C93" s="174">
        <f>C92/P90</f>
        <v>366311096.9</v>
      </c>
      <c r="D93" s="175">
        <f>D92/P90</f>
        <v>121285157.2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 ht="18.75" customHeight="1">
      <c r="H94" s="138" t="s">
        <v>151</v>
      </c>
      <c r="I94" s="54">
        <f>G62</f>
        <v>1</v>
      </c>
      <c r="J94" s="54">
        <f>I62</f>
        <v>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</v>
      </c>
      <c r="P94" s="178">
        <f t="shared" ref="P94:P95" si="22">J94*K94*L94*M94</f>
        <v>1</v>
      </c>
      <c r="Q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</v>
      </c>
      <c r="J95" s="54">
        <f>J62</f>
        <v>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</v>
      </c>
      <c r="P95" s="178">
        <f t="shared" si="22"/>
        <v>1</v>
      </c>
      <c r="Q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 t="shared" ref="J97:M97" si="23">1+(J18+J47+J48+$N$27)%</f>
        <v>4.53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4.53</v>
      </c>
      <c r="O97" s="187"/>
      <c r="P97" s="187"/>
      <c r="Q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 t="shared" ref="J98:M98" si="24">J97*(1+($O$46+$O$48)%)</f>
        <v>4.53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N97*(1+P48%)</f>
        <v>4.983</v>
      </c>
      <c r="O98" s="193"/>
      <c r="P98" s="193"/>
      <c r="Q98" s="194"/>
    </row>
    <row r="99" ht="7.5" customHeight="1"/>
    <row r="100" ht="18.75" customHeight="1">
      <c r="A100" s="195" t="s">
        <v>158</v>
      </c>
      <c r="C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 ht="18.75" customHeight="1">
      <c r="A102" s="198" t="b">
        <v>0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1492023472</v>
      </c>
      <c r="F102" s="199">
        <f>$C$92*$P$86*$P$94/$P$95*I98
/
ifs(
A101=true,1000000000,
A102=true,1000000,
A103=true,1000,
true,1
)</f>
        <v>2051191040</v>
      </c>
      <c r="H102" s="199">
        <f>C92*Q86*P94/P95*J98
/
ifs(
A101=true,1000000000,
A102=true,1000000,
A103=true,1000,
true,1
)</f>
        <v>4432643585</v>
      </c>
      <c r="J102" s="199">
        <f>$C$92*$P$86*$P$94/$P$95*K98
/
ifs(
A101=true,1000000000,
A102=true,1000000,
A103=true,1000,
true,1
)</f>
        <v>1345804076</v>
      </c>
      <c r="L102" s="199">
        <f>$C$92*$P$86*$P$94/$P$95*L98
/
ifs(
A101=true,1000000000,
A102=true,1000000,
A103=true,1000,
true,1
)</f>
        <v>1345804076</v>
      </c>
      <c r="N102" s="199">
        <f>$C$92*$P$86*$P$94/$P$95*M98
/
ifs(
A101=true,1000000000,
A102=true,1000000,
A103=true,1000,
true,1
)</f>
        <v>1345804076</v>
      </c>
      <c r="P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151090984.5</v>
      </c>
      <c r="F103" s="199">
        <f>$C$92*$P$94/$P$95*I98
/
ifs(
A101=true,1000000000,
A102=true,1000000,
A103=true,1000,
true,1
)</f>
        <v>202386881.1</v>
      </c>
      <c r="H103" s="199">
        <f>$C$92*$P$94/$P$95*J98
/
ifs(
A101=true,1000000000,
A102=true,1000000,
A103=true,1000,
true,1
)</f>
        <v>414847317.3</v>
      </c>
      <c r="J103" s="199">
        <f>$C$92*$P$94/$P$95*K98
/
ifs(
A101=true,1000000000,
A102=true,1000000,
A103=true,1000,
true,1
)</f>
        <v>132787772.6</v>
      </c>
      <c r="L103" s="199">
        <f>$C$92*$P$94/$P$95*L98
/
ifs(
A101=true,1000000000,
A102=true,1000000,
A103=true,1000,
true,1
)</f>
        <v>132787772.6</v>
      </c>
      <c r="N103" s="201">
        <f>$C$93*(1+$P$88%*$P$86)*$P$94/$P$95*M98
/
ifs(
A101=true,1000000000,
A102=true,1000000,
A103=true,1000,
true,1
)</f>
        <v>5914367394</v>
      </c>
      <c r="P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6572457827</v>
      </c>
      <c r="F104" s="201">
        <f>$C$93*(1+$P$88%*$P$86)*$P$94/$P$95*I98
/
ifs(
A101=true,1000000000,
A102=true,1000000,
A103=true,1000,
true,1
)</f>
        <v>9014311683</v>
      </c>
      <c r="H104" s="201">
        <f>$C$93*(1+$P$88%*Q86)*$P$94/$P$95*J98
/
ifs(
A101=true,1000000000,
A102=true,1000000,
A103=true,1000,
true,1
)</f>
        <v>19389963610</v>
      </c>
      <c r="J104" s="201">
        <f>$C$93*(1+$P$88%*$P$86)*$P$94/$P$95*K98
/
ifs(
A101=true,1000000000,
A102=true,1000000,
A103=true,1000,
true,1
)</f>
        <v>5914367394</v>
      </c>
      <c r="L104" s="201">
        <f>$C$93*(1+$P$88%*$P$86)*$P$94/$P$95*L98
/
ifs(
A101=true,1000000000,
A102=true,1000000,
A103=true,1000,
true,1
)</f>
        <v>5914367394</v>
      </c>
      <c r="P104" s="54"/>
    </row>
  </sheetData>
  <mergeCells count="94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F103:G103"/>
    <mergeCell ref="H103:I103"/>
    <mergeCell ref="J103:K103"/>
    <mergeCell ref="L103:M103"/>
    <mergeCell ref="N103:O103"/>
    <mergeCell ref="P103:Q103"/>
    <mergeCell ref="A104:B104"/>
    <mergeCell ref="P104:Q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4" t="s">
        <v>70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>
        <v>17.0</v>
      </c>
      <c r="E47" s="75">
        <v>16.0</v>
      </c>
      <c r="F47" s="75"/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>
        <v>21.0</v>
      </c>
      <c r="E48" s="75">
        <v>16.0</v>
      </c>
      <c r="F48" s="75">
        <v>48.0</v>
      </c>
      <c r="G48" s="67">
        <f>610-45</f>
        <v>565</v>
      </c>
      <c r="H48" s="68">
        <f>171+29+29</f>
        <v>229</v>
      </c>
      <c r="I48" s="76"/>
      <c r="J48" s="76">
        <v>270.0</v>
      </c>
      <c r="K48" s="76"/>
      <c r="L48" s="76"/>
      <c r="M48" s="92"/>
      <c r="N48" s="50"/>
      <c r="O48" s="93"/>
      <c r="P48" s="94">
        <v>5.0</v>
      </c>
      <c r="Q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1" t="s">
        <v>109</v>
      </c>
      <c r="G51" s="70">
        <f>270+90+250</f>
        <v>610</v>
      </c>
      <c r="H51" s="71">
        <f>200+29*3</f>
        <v>287</v>
      </c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1</v>
      </c>
      <c r="F58" s="104" t="b">
        <v>0</v>
      </c>
      <c r="G58" s="105">
        <f t="shared" ref="G58:G59" si="1">if(and(E58=true,D58&gt;0),D58%,"")</f>
        <v>0.1</v>
      </c>
      <c r="H58" s="97" t="str">
        <f t="shared" ref="H58:H61" si="2">if(F58=true,G58,"")</f>
        <v/>
      </c>
      <c r="I58" s="105">
        <f t="shared" ref="I58:I59" si="3">if(and(E58=true,D58&gt;0),D58%,"")</f>
        <v>0.1</v>
      </c>
      <c r="J58" s="97" t="str">
        <f t="shared" ref="J58:J61" si="4">if(F58=true,I58,"")</f>
        <v/>
      </c>
      <c r="K58" s="105" t="s">
        <v>115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1</v>
      </c>
      <c r="F59" s="108" t="b">
        <v>1</v>
      </c>
      <c r="G59" s="105">
        <f t="shared" si="1"/>
        <v>0.2</v>
      </c>
      <c r="H59" s="97">
        <f t="shared" si="2"/>
        <v>0.2</v>
      </c>
      <c r="I59" s="105">
        <f t="shared" si="3"/>
        <v>0.2</v>
      </c>
      <c r="J59" s="97">
        <f t="shared" si="4"/>
        <v>0.2</v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1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0</v>
      </c>
      <c r="F61" s="112" t="b">
        <v>1</v>
      </c>
      <c r="G61" s="105" t="str">
        <f>if(E61=true,(if(O92&gt;400,400,O92)*D61%)%,"")</f>
        <v/>
      </c>
      <c r="H61" s="97" t="str">
        <f t="shared" si="2"/>
        <v/>
      </c>
      <c r="I61" s="105" t="str">
        <f>if(E61=true,(if(P92&gt;400,400,P92)*D61%)%,"")</f>
        <v/>
      </c>
      <c r="J61" s="97" t="str">
        <f t="shared" si="4"/>
        <v/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1.3</v>
      </c>
      <c r="H62" s="101">
        <f t="shared" si="5"/>
        <v>1.2</v>
      </c>
      <c r="I62" s="115">
        <f t="shared" si="5"/>
        <v>1.3</v>
      </c>
      <c r="J62" s="101">
        <f t="shared" si="5"/>
        <v>1.2</v>
      </c>
    </row>
    <row r="63" ht="7.5" customHeight="1">
      <c r="A63" s="54"/>
      <c r="Q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122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 ht="7.5" customHeight="1">
      <c r="A69" s="54"/>
      <c r="Q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 ht="7.5" customHeight="1">
      <c r="A75" s="54"/>
      <c r="Q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 ht="7.5" customHeight="1">
      <c r="A82" s="54"/>
      <c r="Q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2.504</v>
      </c>
      <c r="K84" s="139">
        <f>1+( (H6-10)+H33+H34+H35+H39+H47+H48+H49+H55)%</f>
        <v>5.61</v>
      </c>
      <c r="L84" s="139">
        <f>( (H6-5)+H12+H24)%</f>
        <v>1.01</v>
      </c>
      <c r="M84" s="139">
        <f>1+(H3+H9)%</f>
        <v>2.605</v>
      </c>
      <c r="N84" s="139"/>
      <c r="O84" s="140">
        <f>I84*J84*K84</f>
        <v>14.8902864</v>
      </c>
      <c r="P84" s="140">
        <f>I84*J84*(K84+L84)*M84</f>
        <v>45.77263422</v>
      </c>
      <c r="Q84" s="142"/>
    </row>
    <row r="85" ht="18.75" customHeight="1">
      <c r="B85" s="143"/>
      <c r="C85" s="137" t="s">
        <v>135</v>
      </c>
      <c r="D85" s="144"/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9.485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10.035</v>
      </c>
      <c r="P86" s="140">
        <f>I86+J86</f>
        <v>10.295</v>
      </c>
      <c r="Q86" s="149">
        <f>I86+J86+K86</f>
        <v>10.845</v>
      </c>
    </row>
    <row r="87" ht="18.75" customHeight="1">
      <c r="B87" s="143"/>
      <c r="C87" s="150" t="s">
        <v>140</v>
      </c>
      <c r="D87" s="151" t="str">
        <f>if(or((D85/P95/P84-C43)/C44/2&lt;800,(D85/P95/P84-C43)/C44/2&gt;1200), "확인필요", (D85/P95/P84-C43)/C44/2)</f>
        <v>확인필요</v>
      </c>
      <c r="E87" s="145"/>
      <c r="F87" s="152">
        <f>(D85/P95/P84-C43)/C44/2</f>
        <v>-435501.1364</v>
      </c>
      <c r="H87" s="146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 ht="18.75" customHeight="1">
      <c r="B88" s="136">
        <v>3.0</v>
      </c>
      <c r="C88" s="137" t="s">
        <v>143</v>
      </c>
      <c r="E88" s="42"/>
      <c r="H88" s="166"/>
      <c r="I88" s="155">
        <f>F52+F38</f>
        <v>4</v>
      </c>
      <c r="J88" s="155">
        <f>F6+F18+F27+F34+F37+F39</f>
        <v>50</v>
      </c>
      <c r="K88" s="155">
        <f>F47+F48</f>
        <v>48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 ht="18.75" customHeight="1">
      <c r="B89" s="159"/>
      <c r="C89" s="160" t="s">
        <v>135</v>
      </c>
      <c r="D89" s="161"/>
      <c r="E89" s="145"/>
      <c r="H89" s="146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 ht="18.75" customHeight="1">
      <c r="H90" s="166"/>
      <c r="I90" s="155" t="str">
        <f>E40</f>
        <v/>
      </c>
      <c r="J90" s="155">
        <f>E6+E27+E36+E39</f>
        <v>57</v>
      </c>
      <c r="K90" s="155">
        <f>E47+E48</f>
        <v>32</v>
      </c>
      <c r="L90" s="139"/>
      <c r="M90" s="139"/>
      <c r="N90" s="139"/>
      <c r="O90" s="162">
        <f>C44 * (1-J90%-K90%) / (1 + I90% + E45)</f>
        <v>0.05330396476</v>
      </c>
      <c r="P90" s="163">
        <f>ifs(
O90&lt;0.25, 0.25,
true, O90
)
</f>
        <v>0.25</v>
      </c>
      <c r="Q90" s="149">
        <f>ifs(
C45&gt;0, P90,
P90&lt;0.5, 0.5,
true, P90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 ht="18.75" customHeight="1">
      <c r="A92" s="29"/>
      <c r="B92" s="168" t="s">
        <v>14</v>
      </c>
      <c r="C92" s="169">
        <f>(C43+2*D89*C44)*P84*P95</f>
        <v>105251700.7</v>
      </c>
      <c r="D92" s="170">
        <f>(C43+2*D89*C44)*O84*O95</f>
        <v>34239409.5</v>
      </c>
      <c r="E92" s="171"/>
      <c r="H92" s="148"/>
      <c r="I92" s="155">
        <f>D15+D21+D27+D33+D34+D39+D47+D48</f>
        <v>238</v>
      </c>
      <c r="J92" s="155">
        <f>D12</f>
        <v>50</v>
      </c>
      <c r="K92" s="155"/>
      <c r="L92" s="155"/>
      <c r="M92" s="155"/>
      <c r="N92" s="155"/>
      <c r="O92" s="172">
        <f>I92</f>
        <v>238</v>
      </c>
      <c r="P92" s="172">
        <f>I92+J92</f>
        <v>288</v>
      </c>
      <c r="Q92" s="158"/>
    </row>
    <row r="93" ht="18.75" customHeight="1">
      <c r="A93" s="29"/>
      <c r="B93" s="173" t="s">
        <v>149</v>
      </c>
      <c r="C93" s="174">
        <f>C92/P90</f>
        <v>421006802.7</v>
      </c>
      <c r="D93" s="175">
        <f>D92/P90</f>
        <v>136957638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 ht="18.75" customHeight="1">
      <c r="H94" s="138" t="s">
        <v>151</v>
      </c>
      <c r="I94" s="54">
        <f>G62</f>
        <v>1.3</v>
      </c>
      <c r="J94" s="54">
        <f>I62</f>
        <v>1.3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1.3</v>
      </c>
      <c r="P94" s="178">
        <f t="shared" ref="P94:P95" si="22">J94*K94*L94*M94</f>
        <v>1.3</v>
      </c>
      <c r="Q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1.2</v>
      </c>
      <c r="J95" s="54">
        <f>J62</f>
        <v>1.2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1.2</v>
      </c>
      <c r="P95" s="178">
        <f t="shared" si="22"/>
        <v>1.2</v>
      </c>
      <c r="Q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 t="shared" ref="J97:M97" si="23">1+(J18+J47+J48+$N$27)%</f>
        <v>4.63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4.63</v>
      </c>
      <c r="O97" s="187"/>
      <c r="P97" s="187"/>
      <c r="Q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 t="shared" ref="J98:M98" si="24">J97*(1+($O$46+$O$48)%)</f>
        <v>4.63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N97*(1+Q48%)</f>
        <v>7.1765</v>
      </c>
      <c r="O98" s="193"/>
      <c r="P98" s="193"/>
      <c r="Q98" s="194"/>
    </row>
    <row r="99" ht="7.5" customHeight="1"/>
    <row r="100" ht="18.75" customHeight="1">
      <c r="A100" s="195" t="s">
        <v>158</v>
      </c>
      <c r="C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 ht="18.75" customHeight="1">
      <c r="A102" s="198" t="b">
        <v>1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2671.274008</v>
      </c>
      <c r="F102" s="199">
        <f>$C$92*$P$86*$P$94/$P$95*I98
/
ifs(
A101=true,1000000000,
A102=true,1000000,
A103=true,1000,
true,1
)</f>
        <v>2594.238217</v>
      </c>
      <c r="H102" s="199">
        <f>C92*Q86*P94/P95*J98
/
ifs(
A101=true,1000000000,
A102=true,1000000,
A103=true,1000,
true,1
)</f>
        <v>5725.346502</v>
      </c>
      <c r="J102" s="199">
        <f>$C$92*$P$86*$P$94/$P$95*K98
/
ifs(
A101=true,1000000000,
A102=true,1000000,
A103=true,1000,
true,1
)</f>
        <v>1702.101998</v>
      </c>
      <c r="L102" s="199">
        <f>$C$92*$P$86*$P$94/$P$95*L98
/
ifs(
A101=true,1000000000,
A102=true,1000000,
A103=true,1000,
true,1
)</f>
        <v>1702.101998</v>
      </c>
      <c r="N102" s="199">
        <f>$C$92*$P$86*$P$94/$P$95*M98
/
ifs(
A101=true,1000000000,
A102=true,1000000,
A103=true,1000,
true,1
)</f>
        <v>1702.101998</v>
      </c>
      <c r="P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266.1957158</v>
      </c>
      <c r="F103" s="199">
        <f>$C$92*$P$94/$P$95*I98
/
ifs(
A101=true,1000000000,
A102=true,1000000,
A103=true,1000,
true,1
)</f>
        <v>251.9901134</v>
      </c>
      <c r="H103" s="199">
        <f>$C$92*$P$94/$P$95*J98
/
ifs(
A101=true,1000000000,
A102=true,1000000,
A103=true,1000,
true,1
)</f>
        <v>527.9249886</v>
      </c>
      <c r="J103" s="199">
        <f>$C$92*$P$94/$P$95*K98
/
ifs(
A101=true,1000000000,
A102=true,1000000,
A103=true,1000,
true,1
)</f>
        <v>165.3328798</v>
      </c>
      <c r="L103" s="199">
        <f>$C$92*$P$94/$P$95*L98
/
ifs(
A101=true,1000000000,
A102=true,1000000,
A103=true,1000,
true,1
)</f>
        <v>165.3328798</v>
      </c>
      <c r="N103" s="199">
        <f>$C$92*$P$94/$P$95*M98
/
ifs(
A101=true,1000000000,
A102=true,1000000,
A103=true,1000,
true,1
)</f>
        <v>165.3328798</v>
      </c>
      <c r="P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11749.8789</v>
      </c>
      <c r="F104" s="201">
        <f>$D$93*(1+$P$88%*$P$86)*$P$94/$P$95*I98
/
ifs(
A101=true,1000000000,
A102=true,1000000,
A103=true,1000,
true,1
)</f>
        <v>3703.623855</v>
      </c>
      <c r="H104" s="201">
        <f>$D$93*(1+$P$88%*Q86)*$P$94/$P$95*J98
/
ifs(
A101=true,1000000000,
A102=true,1000000,
A103=true,1000,
true,1
)</f>
        <v>8137.001945</v>
      </c>
      <c r="J104" s="201">
        <f>$D$93*(1+$P$88%*$P$86)*$P$94/$P$95*K98
/
ifs(
A101=true,1000000000,
A102=true,1000000,
A103=true,1000,
true,1
)</f>
        <v>2429.979452</v>
      </c>
      <c r="L104" s="201">
        <f>$D$93*(1+$P$88%*$P$86)*$P$94/$P$95*L98
/
ifs(
A101=true,1000000000,
A102=true,1000000,
A103=true,1000,
true,1
)</f>
        <v>2429.979452</v>
      </c>
      <c r="N104" s="201">
        <f>$D$93*(1+$P$88%*$P$86)*$P$94/$P$95*M98
/
ifs(
A101=true,1000000000,
A102=true,1000000,
A103=true,1000,
true,1
)</f>
        <v>2429.979452</v>
      </c>
      <c r="P104" s="54"/>
    </row>
  </sheetData>
  <mergeCells count="95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N104:O104"/>
    <mergeCell ref="P104:Q104"/>
    <mergeCell ref="F103:G103"/>
    <mergeCell ref="H103:I103"/>
    <mergeCell ref="J103:K103"/>
    <mergeCell ref="L103:M103"/>
    <mergeCell ref="N103:O103"/>
    <mergeCell ref="P103:Q103"/>
    <mergeCell ref="A104:B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4" t="s">
        <v>70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>
        <v>17.0</v>
      </c>
      <c r="E47" s="75">
        <v>16.0</v>
      </c>
      <c r="F47" s="75">
        <v>16.0</v>
      </c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>
        <v>74.0</v>
      </c>
      <c r="E48" s="75">
        <v>16.0</v>
      </c>
      <c r="F48" s="75">
        <v>48.0</v>
      </c>
      <c r="G48" s="67">
        <v>610.0</v>
      </c>
      <c r="H48" s="68">
        <v>171.0</v>
      </c>
      <c r="I48" s="76"/>
      <c r="J48" s="76">
        <v>270.0</v>
      </c>
      <c r="K48" s="76"/>
      <c r="L48" s="76"/>
      <c r="M48" s="92"/>
      <c r="N48" s="50"/>
      <c r="O48" s="93"/>
      <c r="P48" s="94">
        <v>5.0</v>
      </c>
      <c r="Q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1</v>
      </c>
      <c r="F58" s="104" t="b">
        <v>0</v>
      </c>
      <c r="G58" s="105">
        <f t="shared" ref="G58:G59" si="1">if(and(E58=true,D58&gt;0),D58%,"")</f>
        <v>0.1</v>
      </c>
      <c r="H58" s="97" t="str">
        <f t="shared" ref="H58:H61" si="2">if(F58=true,G58,"")</f>
        <v/>
      </c>
      <c r="I58" s="105">
        <f t="shared" ref="I58:I59" si="3">if(and(E58=true,D58&gt;0),D58%,"")</f>
        <v>0.1</v>
      </c>
      <c r="J58" s="97" t="str">
        <f t="shared" ref="J58:J61" si="4">if(F58=true,I58,"")</f>
        <v/>
      </c>
      <c r="K58" s="105" t="s">
        <v>166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1</v>
      </c>
      <c r="F59" s="108" t="b">
        <v>1</v>
      </c>
      <c r="G59" s="105">
        <f t="shared" si="1"/>
        <v>0.2</v>
      </c>
      <c r="H59" s="97">
        <f t="shared" si="2"/>
        <v>0.2</v>
      </c>
      <c r="I59" s="105">
        <f t="shared" si="3"/>
        <v>0.2</v>
      </c>
      <c r="J59" s="97">
        <f t="shared" si="4"/>
        <v>0.2</v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0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1</v>
      </c>
      <c r="F61" s="112" t="b">
        <v>1</v>
      </c>
      <c r="G61" s="105">
        <f>if(E61=true,(if(O92&gt;400,400,O92)*D61%)%,"")</f>
        <v>0.291</v>
      </c>
      <c r="H61" s="97">
        <f t="shared" si="2"/>
        <v>0.291</v>
      </c>
      <c r="I61" s="105">
        <f>if(E61=true,(if(P92&gt;400,400,P92)*D61%)%,"")</f>
        <v>0.341</v>
      </c>
      <c r="J61" s="97">
        <f t="shared" si="4"/>
        <v>0.341</v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1.591</v>
      </c>
      <c r="H62" s="101">
        <f t="shared" si="5"/>
        <v>1.491</v>
      </c>
      <c r="I62" s="115">
        <f t="shared" si="5"/>
        <v>1.641</v>
      </c>
      <c r="J62" s="101">
        <f t="shared" si="5"/>
        <v>1.541</v>
      </c>
    </row>
    <row r="63" ht="7.5" customHeight="1">
      <c r="A63" s="54"/>
      <c r="Q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168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 ht="7.5" customHeight="1">
      <c r="A69" s="54"/>
      <c r="Q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 ht="7.5" customHeight="1">
      <c r="A75" s="54"/>
      <c r="Q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 ht="7.5" customHeight="1">
      <c r="A82" s="54"/>
      <c r="Q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2.504</v>
      </c>
      <c r="K84" s="139">
        <f>1+( (H6-10)+H33+H34+H35+H39+H47+H48+H49+H55)%</f>
        <v>5.03</v>
      </c>
      <c r="L84" s="139">
        <f>( (H6-5)+H12+H24)%</f>
        <v>1.01</v>
      </c>
      <c r="M84" s="139">
        <f>1+(H3+H9)%</f>
        <v>2.605</v>
      </c>
      <c r="N84" s="139"/>
      <c r="O84" s="140">
        <f>I84*J84*K84</f>
        <v>13.3508272</v>
      </c>
      <c r="P84" s="140">
        <f>I84*J84*(K84+L84)*M84</f>
        <v>41.76234301</v>
      </c>
      <c r="Q84" s="142"/>
    </row>
    <row r="85" ht="18.75" customHeight="1">
      <c r="B85" s="143"/>
      <c r="C85" s="137" t="s">
        <v>135</v>
      </c>
      <c r="D85" s="144">
        <v>1.07543896E8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9.935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10.485</v>
      </c>
      <c r="P86" s="140">
        <f>I86+J86</f>
        <v>10.745</v>
      </c>
      <c r="Q86" s="149">
        <f>I86+J86+K86</f>
        <v>11.295</v>
      </c>
    </row>
    <row r="87" ht="18.75" customHeight="1">
      <c r="B87" s="143"/>
      <c r="C87" s="150" t="s">
        <v>140</v>
      </c>
      <c r="D87" s="151" t="str">
        <f>if(or((D85/P95/P84-C43)/C44/2&lt;800,(D85/P95/P84-C43)/C44/2&gt;1200), "확인필요", (D85/P95/P84-C43)/C44/2)</f>
        <v>확인필요</v>
      </c>
      <c r="E87" s="145"/>
      <c r="F87" s="152">
        <f>(D85/P95/P84-C43)/C44/2</f>
        <v>-55709.32707</v>
      </c>
      <c r="H87" s="146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 ht="18.75" customHeight="1">
      <c r="B88" s="136">
        <v>3.0</v>
      </c>
      <c r="C88" s="137" t="s">
        <v>143</v>
      </c>
      <c r="E88" s="42"/>
      <c r="H88" s="166"/>
      <c r="I88" s="155">
        <f>F52+F38</f>
        <v>4</v>
      </c>
      <c r="J88" s="155">
        <f>F6+F18+F27+F34+F37+F39</f>
        <v>50</v>
      </c>
      <c r="K88" s="155">
        <f>F47+F48</f>
        <v>64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 ht="18.75" customHeight="1">
      <c r="B89" s="159"/>
      <c r="C89" s="160" t="s">
        <v>135</v>
      </c>
      <c r="D89" s="161">
        <v>933.75</v>
      </c>
      <c r="E89" s="145"/>
      <c r="H89" s="146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 ht="18.75" customHeight="1">
      <c r="H90" s="166"/>
      <c r="I90" s="155" t="str">
        <f>E40</f>
        <v/>
      </c>
      <c r="J90" s="155">
        <f>E6+E27+E36+E39</f>
        <v>57</v>
      </c>
      <c r="K90" s="155">
        <f>E47+E48</f>
        <v>32</v>
      </c>
      <c r="L90" s="139"/>
      <c r="M90" s="139"/>
      <c r="N90" s="139"/>
      <c r="O90" s="162">
        <f>C44 * (1-J90%-K90%) / (1 + I90% + E45)</f>
        <v>0.05330396476</v>
      </c>
      <c r="P90" s="163">
        <f>ifs(
O90&lt;0.25, 0.25,
true, O90
)
</f>
        <v>0.25</v>
      </c>
      <c r="Q90" s="149">
        <f>ifs(
C45&gt;0, P90,
P90&lt;0.5, 0.5,
true, P90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 ht="18.75" customHeight="1">
      <c r="A92" s="29"/>
      <c r="B92" s="168" t="s">
        <v>14</v>
      </c>
      <c r="C92" s="169">
        <f>(C43+2*D89*C44)*P84*P95</f>
        <v>123583255</v>
      </c>
      <c r="D92" s="170">
        <f>(C43+2*D89*C44)*O84*O95</f>
        <v>38225920.6</v>
      </c>
      <c r="E92" s="171"/>
      <c r="H92" s="148"/>
      <c r="I92" s="155">
        <f>D15+D21+D27+D33+D34+D39+D47+D48</f>
        <v>291</v>
      </c>
      <c r="J92" s="155">
        <f>D12</f>
        <v>50</v>
      </c>
      <c r="K92" s="155"/>
      <c r="L92" s="155"/>
      <c r="M92" s="155"/>
      <c r="N92" s="155"/>
      <c r="O92" s="172">
        <f>I92</f>
        <v>291</v>
      </c>
      <c r="P92" s="172">
        <f>I92+J92</f>
        <v>341</v>
      </c>
      <c r="Q92" s="158"/>
    </row>
    <row r="93" ht="18.75" customHeight="1">
      <c r="A93" s="29"/>
      <c r="B93" s="173" t="s">
        <v>149</v>
      </c>
      <c r="C93" s="174">
        <f>C92/P90</f>
        <v>494333020.2</v>
      </c>
      <c r="D93" s="175">
        <f>D92/P90</f>
        <v>152903682.4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 ht="18.75" customHeight="1">
      <c r="H94" s="138" t="s">
        <v>151</v>
      </c>
      <c r="I94" s="54">
        <f>G62</f>
        <v>1.591</v>
      </c>
      <c r="J94" s="54">
        <f>I62</f>
        <v>1.641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1.591</v>
      </c>
      <c r="P94" s="178">
        <f t="shared" ref="P94:P95" si="22">J94*K94*L94*M94</f>
        <v>1.641</v>
      </c>
      <c r="Q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1.491</v>
      </c>
      <c r="J95" s="54">
        <f>J62</f>
        <v>1.541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1.491</v>
      </c>
      <c r="P95" s="178">
        <f t="shared" si="22"/>
        <v>1.541</v>
      </c>
      <c r="Q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 t="shared" ref="J97:M97" si="23">1+(J18+J47+J48+$N$27)%</f>
        <v>4.63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4.63</v>
      </c>
      <c r="O97" s="187"/>
      <c r="P97" s="187"/>
      <c r="Q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 t="shared" ref="J98:M98" si="24">J97*(1+($O$46+$O$48)%)</f>
        <v>4.63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N97*(1+Q48%)</f>
        <v>7.1765</v>
      </c>
      <c r="O98" s="193"/>
      <c r="P98" s="193"/>
      <c r="Q98" s="194"/>
    </row>
    <row r="99" ht="7.5" customHeight="1"/>
    <row r="100" ht="18.75" customHeight="1">
      <c r="A100" s="195" t="s">
        <v>158</v>
      </c>
      <c r="C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 ht="18.75" customHeight="1">
      <c r="A102" s="198" t="b">
        <v>0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3069245400</v>
      </c>
      <c r="F102" s="199">
        <f>$C$92*$P$86*$P$94/$P$95*I98
/
ifs(
A101=true,1000000000,
A102=true,1000000,
A103=true,1000,
true,1
)</f>
        <v>3125102496</v>
      </c>
      <c r="H102" s="199">
        <f>C92*Q86*P94/P95*J98
/
ifs(
A101=true,1000000000,
A102=true,1000000,
A103=true,1000,
true,1
)</f>
        <v>6882287304</v>
      </c>
      <c r="J102" s="199">
        <f>$C$92*$P$86*$P$94/$P$95*K98
/
ifs(
A101=true,1000000000,
A102=true,1000000,
A103=true,1000,
true,1
)</f>
        <v>2050406615</v>
      </c>
      <c r="L102" s="199">
        <f>$C$92*$P$86*$P$94/$P$95*L98
/
ifs(
A101=true,1000000000,
A102=true,1000000,
A103=true,1000,
true,1
)</f>
        <v>2050406615</v>
      </c>
      <c r="N102" s="199">
        <f>$C$92*$P$86*$P$94/$P$95*M98
/
ifs(
A101=true,1000000000,
A102=true,1000000,
A103=true,1000,
true,1
)</f>
        <v>2050406615</v>
      </c>
      <c r="P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292727267.5</v>
      </c>
      <c r="F103" s="199">
        <f>$C$92*$P$94/$P$95*I98
/
ifs(
A101=true,1000000000,
A102=true,1000000,
A103=true,1000,
true,1
)</f>
        <v>290842484.5</v>
      </c>
      <c r="H103" s="199">
        <f>$C$92*$P$94/$P$95*J98
/
ifs(
A101=true,1000000000,
A102=true,1000000,
A103=true,1000,
true,1
)</f>
        <v>609321585.1</v>
      </c>
      <c r="J103" s="199">
        <f>$C$92*$P$94/$P$95*K98
/
ifs(
A101=true,1000000000,
A102=true,1000000,
A103=true,1000,
true,1
)</f>
        <v>190824254.5</v>
      </c>
      <c r="L103" s="199">
        <f>$C$92*$P$94/$P$95*L98
/
ifs(
A101=true,1000000000,
A102=true,1000000,
A103=true,1000,
true,1
)</f>
        <v>190824254.5</v>
      </c>
      <c r="N103" s="199">
        <f>$C$92*$P$94/$P$95*M98
/
ifs(
A101=true,1000000000,
A102=true,1000000,
A103=true,1000,
true,1
)</f>
        <v>190824254.5</v>
      </c>
      <c r="P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13447890668</v>
      </c>
      <c r="F104" s="201">
        <f>$D$93*(1+$P$88%*$P$86)*$P$94/$P$95*I98
/
ifs(
A101=true,1000000000,
A102=true,1000000,
A103=true,1000,
true,1
)</f>
        <v>4226386222</v>
      </c>
      <c r="H104" s="201">
        <f>$D$93*(1+$P$88%*Q86)*$P$94/$P$95*J98
/
ifs(
A101=true,1000000000,
A102=true,1000000,
A103=true,1000,
true,1
)</f>
        <v>9269011290</v>
      </c>
      <c r="J104" s="201">
        <f>$D$93*(1+$P$88%*$P$86)*$P$94/$P$95*K98
/
ifs(
A101=true,1000000000,
A102=true,1000000,
A103=true,1000,
true,1
)</f>
        <v>2772968335</v>
      </c>
      <c r="L104" s="201">
        <f>$D$93*(1+$P$88%*$P$86)*$P$94/$P$95*L98
/
ifs(
A101=true,1000000000,
A102=true,1000000,
A103=true,1000,
true,1
)</f>
        <v>2772968335</v>
      </c>
      <c r="N104" s="201">
        <f>$D$93*(1+$P$88%*$P$86)*$P$94/$P$95*M98
/
ifs(
A101=true,1000000000,
A102=true,1000000,
A103=true,1000,
true,1
)</f>
        <v>2772968335</v>
      </c>
      <c r="P104" s="54"/>
    </row>
  </sheetData>
  <mergeCells count="95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N104:O104"/>
    <mergeCell ref="P104:Q104"/>
    <mergeCell ref="F103:G103"/>
    <mergeCell ref="H103:I103"/>
    <mergeCell ref="J103:K103"/>
    <mergeCell ref="L103:M103"/>
    <mergeCell ref="N103:O103"/>
    <mergeCell ref="P103:Q103"/>
    <mergeCell ref="A104:B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4" t="s">
        <v>70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>
        <v>17.0</v>
      </c>
      <c r="E47" s="75">
        <v>16.0</v>
      </c>
      <c r="F47" s="75">
        <v>16.0</v>
      </c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>
        <v>74.0</v>
      </c>
      <c r="E48" s="75">
        <v>16.0</v>
      </c>
      <c r="F48" s="75">
        <v>48.0</v>
      </c>
      <c r="G48" s="67">
        <v>610.0</v>
      </c>
      <c r="H48" s="68">
        <v>171.0</v>
      </c>
      <c r="I48" s="76"/>
      <c r="J48" s="76">
        <v>270.0</v>
      </c>
      <c r="K48" s="76"/>
      <c r="L48" s="76"/>
      <c r="M48" s="92"/>
      <c r="N48" s="50"/>
      <c r="O48" s="93"/>
      <c r="P48" s="94">
        <v>5.0</v>
      </c>
      <c r="Q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1</v>
      </c>
      <c r="F58" s="104" t="b">
        <v>0</v>
      </c>
      <c r="G58" s="105">
        <f t="shared" ref="G58:G59" si="1">if(and(E58=true,D58&gt;0),D58%,"")</f>
        <v>0.1</v>
      </c>
      <c r="H58" s="97" t="str">
        <f t="shared" ref="H58:H61" si="2">if(F58=true,G58,"")</f>
        <v/>
      </c>
      <c r="I58" s="105">
        <f t="shared" ref="I58:I59" si="3">if(and(E58=true,D58&gt;0),D58%,"")</f>
        <v>0.1</v>
      </c>
      <c r="J58" s="97" t="str">
        <f t="shared" ref="J58:J61" si="4">if(F58=true,I58,"")</f>
        <v/>
      </c>
      <c r="K58" s="105" t="s">
        <v>165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1</v>
      </c>
      <c r="F59" s="108" t="b">
        <v>1</v>
      </c>
      <c r="G59" s="105">
        <f t="shared" si="1"/>
        <v>0.2</v>
      </c>
      <c r="H59" s="97">
        <f t="shared" si="2"/>
        <v>0.2</v>
      </c>
      <c r="I59" s="105">
        <f t="shared" si="3"/>
        <v>0.2</v>
      </c>
      <c r="J59" s="97">
        <f t="shared" si="4"/>
        <v>0.2</v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0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1</v>
      </c>
      <c r="F61" s="112" t="b">
        <v>1</v>
      </c>
      <c r="G61" s="105">
        <f>if(E61=true,(if(O92&gt;400,400,O92)*D61%)%,"")</f>
        <v>0.291</v>
      </c>
      <c r="H61" s="97">
        <f t="shared" si="2"/>
        <v>0.291</v>
      </c>
      <c r="I61" s="105">
        <f>if(E61=true,(if(P92&gt;400,400,P92)*D61%)%,"")</f>
        <v>0.341</v>
      </c>
      <c r="J61" s="97">
        <f t="shared" si="4"/>
        <v>0.341</v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1.591</v>
      </c>
      <c r="H62" s="101">
        <f t="shared" si="5"/>
        <v>1.491</v>
      </c>
      <c r="I62" s="115">
        <f t="shared" si="5"/>
        <v>1.641</v>
      </c>
      <c r="J62" s="101">
        <f t="shared" si="5"/>
        <v>1.541</v>
      </c>
    </row>
    <row r="63" ht="7.5" customHeight="1">
      <c r="A63" s="54"/>
      <c r="Q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169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 ht="7.5" customHeight="1">
      <c r="A69" s="54"/>
      <c r="Q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 ht="7.5" customHeight="1">
      <c r="A75" s="54"/>
      <c r="Q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 ht="7.5" customHeight="1">
      <c r="A82" s="54"/>
      <c r="Q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2.504</v>
      </c>
      <c r="K84" s="139">
        <f>1+( (H6-10)+H33+H34+H35+H39+H47+H48+H49+H55)%</f>
        <v>5.03</v>
      </c>
      <c r="L84" s="139">
        <f>( (H6-5)+H12+H24)%</f>
        <v>1.01</v>
      </c>
      <c r="M84" s="139">
        <f>1+(H3+H9)%</f>
        <v>2.605</v>
      </c>
      <c r="N84" s="139"/>
      <c r="O84" s="140">
        <f>I84*J84*K84</f>
        <v>13.3508272</v>
      </c>
      <c r="P84" s="140">
        <f>I84*J84*(K84+L84)*M84</f>
        <v>41.76234301</v>
      </c>
      <c r="Q84" s="142"/>
    </row>
    <row r="85" ht="18.75" customHeight="1">
      <c r="B85" s="143"/>
      <c r="C85" s="137" t="s">
        <v>135</v>
      </c>
      <c r="D85" s="144">
        <v>1.07543896E8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9.935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10.485</v>
      </c>
      <c r="P86" s="140">
        <f>I86+J86</f>
        <v>10.745</v>
      </c>
      <c r="Q86" s="149">
        <f>I86+J86+K86</f>
        <v>11.295</v>
      </c>
    </row>
    <row r="87" ht="18.75" customHeight="1">
      <c r="B87" s="143"/>
      <c r="C87" s="150" t="s">
        <v>140</v>
      </c>
      <c r="D87" s="151" t="str">
        <f>if(or((D85/P95/P84-C43)/C44/2&lt;800,(D85/P95/P84-C43)/C44/2&gt;1200), "확인필요", (D85/P95/P84-C43)/C44/2)</f>
        <v>확인필요</v>
      </c>
      <c r="E87" s="145"/>
      <c r="F87" s="152">
        <f>(D85/P95/P84-C43)/C44/2</f>
        <v>-55709.32707</v>
      </c>
      <c r="H87" s="146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 ht="18.75" customHeight="1">
      <c r="B88" s="136">
        <v>3.0</v>
      </c>
      <c r="C88" s="137" t="s">
        <v>143</v>
      </c>
      <c r="E88" s="42"/>
      <c r="H88" s="166"/>
      <c r="I88" s="155">
        <f>F52+F38</f>
        <v>4</v>
      </c>
      <c r="J88" s="155">
        <f>F6+F18+F27+F34+F37+F39</f>
        <v>50</v>
      </c>
      <c r="K88" s="155">
        <f>F47+F48</f>
        <v>64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 ht="18.75" customHeight="1">
      <c r="B89" s="159"/>
      <c r="C89" s="160" t="s">
        <v>135</v>
      </c>
      <c r="D89" s="161">
        <v>933.75</v>
      </c>
      <c r="E89" s="145"/>
      <c r="H89" s="146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 ht="18.75" customHeight="1">
      <c r="H90" s="166"/>
      <c r="I90" s="155" t="str">
        <f>E40</f>
        <v/>
      </c>
      <c r="J90" s="155">
        <f>E6+E27+E36+E39</f>
        <v>57</v>
      </c>
      <c r="K90" s="155">
        <f>E47+E48</f>
        <v>32</v>
      </c>
      <c r="L90" s="139"/>
      <c r="M90" s="139"/>
      <c r="N90" s="139"/>
      <c r="O90" s="162">
        <f>C44 * (1-J90%-K90%) / (1 + I90% + E45)</f>
        <v>0.05330396476</v>
      </c>
      <c r="P90" s="163">
        <f>ifs(
O90&lt;0.25, 0.25,
true, O90
)
</f>
        <v>0.25</v>
      </c>
      <c r="Q90" s="149">
        <f>ifs(
C45&gt;0, P90,
P90&lt;0.5, 0.5,
true, P90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 ht="18.75" customHeight="1">
      <c r="A92" s="29"/>
      <c r="B92" s="168" t="s">
        <v>14</v>
      </c>
      <c r="C92" s="169">
        <f>(C43+2*D89*C44)*P84*P95</f>
        <v>123583255</v>
      </c>
      <c r="D92" s="170">
        <f>(C43+2*D89*C44)*O84*O95</f>
        <v>38225920.6</v>
      </c>
      <c r="E92" s="171"/>
      <c r="H92" s="148"/>
      <c r="I92" s="155">
        <f>D15+D21+D27+D33+D34+D39+D47+D48</f>
        <v>291</v>
      </c>
      <c r="J92" s="155">
        <f>D12</f>
        <v>50</v>
      </c>
      <c r="K92" s="155"/>
      <c r="L92" s="155"/>
      <c r="M92" s="155"/>
      <c r="N92" s="155"/>
      <c r="O92" s="172">
        <f>I92</f>
        <v>291</v>
      </c>
      <c r="P92" s="172">
        <f>I92+J92</f>
        <v>341</v>
      </c>
      <c r="Q92" s="158"/>
    </row>
    <row r="93" ht="18.75" customHeight="1">
      <c r="A93" s="29"/>
      <c r="B93" s="173" t="s">
        <v>149</v>
      </c>
      <c r="C93" s="174">
        <f>C92/P90</f>
        <v>494333020.2</v>
      </c>
      <c r="D93" s="175">
        <f>D92/P90</f>
        <v>152903682.4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 ht="18.75" customHeight="1">
      <c r="H94" s="138" t="s">
        <v>151</v>
      </c>
      <c r="I94" s="54">
        <f>G62</f>
        <v>1.591</v>
      </c>
      <c r="J94" s="54">
        <f>I62</f>
        <v>1.641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1.591</v>
      </c>
      <c r="P94" s="178">
        <f t="shared" ref="P94:P95" si="22">J94*K94*L94*M94</f>
        <v>1.641</v>
      </c>
      <c r="Q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1.491</v>
      </c>
      <c r="J95" s="54">
        <f>J62</f>
        <v>1.541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1.491</v>
      </c>
      <c r="P95" s="178">
        <f t="shared" si="22"/>
        <v>1.541</v>
      </c>
      <c r="Q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 t="shared" ref="J97:M97" si="23">1+(J18+J47+J48+$N$27)%</f>
        <v>4.63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4.63</v>
      </c>
      <c r="O97" s="187"/>
      <c r="P97" s="187"/>
      <c r="Q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 t="shared" ref="J98:M98" si="24">J97*(1+($O$46+$O$48)%)</f>
        <v>4.63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N97*(1+Q48%)</f>
        <v>7.1765</v>
      </c>
      <c r="O98" s="193"/>
      <c r="P98" s="193"/>
      <c r="Q98" s="194"/>
    </row>
    <row r="99" ht="7.5" customHeight="1"/>
    <row r="100" ht="18.75" customHeight="1">
      <c r="A100" s="195" t="s">
        <v>158</v>
      </c>
      <c r="C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 ht="18.75" customHeight="1">
      <c r="A102" s="198" t="b">
        <v>0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3069245400</v>
      </c>
      <c r="F102" s="199">
        <f>$C$92*$P$86*$P$94/$P$95*I98
/
ifs(
A101=true,1000000000,
A102=true,1000000,
A103=true,1000,
true,1
)</f>
        <v>3125102496</v>
      </c>
      <c r="H102" s="199">
        <f>C92*Q86*P94/P95*J98
/
ifs(
A101=true,1000000000,
A102=true,1000000,
A103=true,1000,
true,1
)</f>
        <v>6882287304</v>
      </c>
      <c r="J102" s="199">
        <f>$C$92*$P$86*$P$94/$P$95*K98
/
ifs(
A101=true,1000000000,
A102=true,1000000,
A103=true,1000,
true,1
)</f>
        <v>2050406615</v>
      </c>
      <c r="L102" s="199">
        <f>$C$92*$P$86*$P$94/$P$95*L98
/
ifs(
A101=true,1000000000,
A102=true,1000000,
A103=true,1000,
true,1
)</f>
        <v>2050406615</v>
      </c>
      <c r="N102" s="199">
        <f>$C$92*$P$86*$P$94/$P$95*M98
/
ifs(
A101=true,1000000000,
A102=true,1000000,
A103=true,1000,
true,1
)</f>
        <v>2050406615</v>
      </c>
      <c r="P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292727267.5</v>
      </c>
      <c r="F103" s="199">
        <f>$C$92*$P$94/$P$95*I98
/
ifs(
A101=true,1000000000,
A102=true,1000000,
A103=true,1000,
true,1
)</f>
        <v>290842484.5</v>
      </c>
      <c r="H103" s="199">
        <f>$C$92*$P$94/$P$95*J98
/
ifs(
A101=true,1000000000,
A102=true,1000000,
A103=true,1000,
true,1
)</f>
        <v>609321585.1</v>
      </c>
      <c r="J103" s="199">
        <f>$C$92*$P$94/$P$95*K98
/
ifs(
A101=true,1000000000,
A102=true,1000000,
A103=true,1000,
true,1
)</f>
        <v>190824254.5</v>
      </c>
      <c r="L103" s="199">
        <f>$C$92*$P$94/$P$95*L98
/
ifs(
A101=true,1000000000,
A102=true,1000000,
A103=true,1000,
true,1
)</f>
        <v>190824254.5</v>
      </c>
      <c r="N103" s="199">
        <f>$C$92*$P$94/$P$95*M98
/
ifs(
A101=true,1000000000,
A102=true,1000000,
A103=true,1000,
true,1
)</f>
        <v>190824254.5</v>
      </c>
      <c r="P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13447890668</v>
      </c>
      <c r="F104" s="201">
        <f>$D$93*(1+$P$88%*$P$86)*$P$94/$P$95*I98
/
ifs(
A101=true,1000000000,
A102=true,1000000,
A103=true,1000,
true,1
)</f>
        <v>4226386222</v>
      </c>
      <c r="H104" s="201">
        <f>$D$93*(1+$P$88%*Q86)*$P$94/$P$95*J98
/
ifs(
A101=true,1000000000,
A102=true,1000000,
A103=true,1000,
true,1
)</f>
        <v>9269011290</v>
      </c>
      <c r="J104" s="201">
        <f>$D$93*(1+$P$88%*$P$86)*$P$94/$P$95*K98
/
ifs(
A101=true,1000000000,
A102=true,1000000,
A103=true,1000,
true,1
)</f>
        <v>2772968335</v>
      </c>
      <c r="L104" s="201">
        <f>$D$93*(1+$P$88%*$P$86)*$P$94/$P$95*L98
/
ifs(
A101=true,1000000000,
A102=true,1000000,
A103=true,1000,
true,1
)</f>
        <v>2772968335</v>
      </c>
      <c r="N104" s="201">
        <f>$D$93*(1+$P$88%*$P$86)*$P$94/$P$95*M98
/
ifs(
A101=true,1000000000,
A102=true,1000000,
A103=true,1000,
true,1
)</f>
        <v>2772968335</v>
      </c>
      <c r="P104" s="54"/>
    </row>
  </sheetData>
  <mergeCells count="95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N104:O104"/>
    <mergeCell ref="P104:Q104"/>
    <mergeCell ref="F103:G103"/>
    <mergeCell ref="H103:I103"/>
    <mergeCell ref="J103:K103"/>
    <mergeCell ref="L103:M103"/>
    <mergeCell ref="N103:O103"/>
    <mergeCell ref="P103:Q103"/>
    <mergeCell ref="A104:B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4" t="s">
        <v>70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>
        <v>17.0</v>
      </c>
      <c r="E47" s="75">
        <v>16.0</v>
      </c>
      <c r="F47" s="75">
        <v>16.0</v>
      </c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>
        <v>74.0</v>
      </c>
      <c r="E48" s="75">
        <v>16.0</v>
      </c>
      <c r="F48" s="75">
        <v>48.0</v>
      </c>
      <c r="G48" s="67">
        <v>610.0</v>
      </c>
      <c r="H48" s="68">
        <v>171.0</v>
      </c>
      <c r="I48" s="76"/>
      <c r="J48" s="76">
        <v>270.0</v>
      </c>
      <c r="K48" s="76"/>
      <c r="L48" s="76"/>
      <c r="M48" s="92"/>
      <c r="N48" s="50"/>
      <c r="O48" s="93"/>
      <c r="P48" s="94">
        <v>5.0</v>
      </c>
      <c r="Q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1</v>
      </c>
      <c r="F58" s="104" t="b">
        <v>0</v>
      </c>
      <c r="G58" s="105">
        <f t="shared" ref="G58:G59" si="1">if(and(E58=true,D58&gt;0),D58%,"")</f>
        <v>0.1</v>
      </c>
      <c r="H58" s="97" t="str">
        <f t="shared" ref="H58:H61" si="2">if(F58=true,G58,"")</f>
        <v/>
      </c>
      <c r="I58" s="105">
        <f t="shared" ref="I58:I59" si="3">if(and(E58=true,D58&gt;0),D58%,"")</f>
        <v>0.1</v>
      </c>
      <c r="J58" s="97" t="str">
        <f t="shared" ref="J58:J61" si="4">if(F58=true,I58,"")</f>
        <v/>
      </c>
      <c r="K58" s="105" t="s">
        <v>167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1</v>
      </c>
      <c r="F59" s="108" t="b">
        <v>1</v>
      </c>
      <c r="G59" s="105">
        <f t="shared" si="1"/>
        <v>0.2</v>
      </c>
      <c r="H59" s="97">
        <f t="shared" si="2"/>
        <v>0.2</v>
      </c>
      <c r="I59" s="105">
        <f t="shared" si="3"/>
        <v>0.2</v>
      </c>
      <c r="J59" s="97">
        <f t="shared" si="4"/>
        <v>0.2</v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0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1</v>
      </c>
      <c r="F61" s="112" t="b">
        <v>1</v>
      </c>
      <c r="G61" s="105">
        <f>if(E61=true,(if(O92&gt;400,400,O92)*D61%)%,"")</f>
        <v>0.291</v>
      </c>
      <c r="H61" s="97">
        <f t="shared" si="2"/>
        <v>0.291</v>
      </c>
      <c r="I61" s="105">
        <f>if(E61=true,(if(P92&gt;400,400,P92)*D61%)%,"")</f>
        <v>0.341</v>
      </c>
      <c r="J61" s="97">
        <f t="shared" si="4"/>
        <v>0.341</v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1.591</v>
      </c>
      <c r="H62" s="101">
        <f t="shared" si="5"/>
        <v>1.491</v>
      </c>
      <c r="I62" s="115">
        <f t="shared" si="5"/>
        <v>1.641</v>
      </c>
      <c r="J62" s="101">
        <f t="shared" si="5"/>
        <v>1.541</v>
      </c>
    </row>
    <row r="63" ht="7.5" customHeight="1">
      <c r="A63" s="54"/>
      <c r="Q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170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 ht="7.5" customHeight="1">
      <c r="A69" s="54"/>
      <c r="Q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 ht="7.5" customHeight="1">
      <c r="A75" s="54"/>
      <c r="Q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 ht="7.5" customHeight="1">
      <c r="A82" s="54"/>
      <c r="Q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2.504</v>
      </c>
      <c r="K84" s="139">
        <f>1+( (H6-10)+H33+H34+H35+H39+H47+H48+H49+H55)%</f>
        <v>5.03</v>
      </c>
      <c r="L84" s="139">
        <f>( (H6-5)+H12+H24)%</f>
        <v>1.01</v>
      </c>
      <c r="M84" s="139">
        <f>1+(H3+H9)%</f>
        <v>2.605</v>
      </c>
      <c r="N84" s="139"/>
      <c r="O84" s="140">
        <f>I84*J84*K84</f>
        <v>13.3508272</v>
      </c>
      <c r="P84" s="140">
        <f>I84*J84*(K84+L84)*M84</f>
        <v>41.76234301</v>
      </c>
      <c r="Q84" s="142"/>
    </row>
    <row r="85" ht="18.75" customHeight="1">
      <c r="B85" s="143"/>
      <c r="C85" s="137" t="s">
        <v>135</v>
      </c>
      <c r="D85" s="144">
        <v>1.07543896E8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9.935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10.485</v>
      </c>
      <c r="P86" s="140">
        <f>I86+J86</f>
        <v>10.745</v>
      </c>
      <c r="Q86" s="149">
        <f>I86+J86+K86</f>
        <v>11.295</v>
      </c>
    </row>
    <row r="87" ht="18.75" customHeight="1">
      <c r="B87" s="143"/>
      <c r="C87" s="150" t="s">
        <v>140</v>
      </c>
      <c r="D87" s="151" t="str">
        <f>if(or((D85/P95/P84-C43)/C44/2&lt;800,(D85/P95/P84-C43)/C44/2&gt;1200), "확인필요", (D85/P95/P84-C43)/C44/2)</f>
        <v>확인필요</v>
      </c>
      <c r="E87" s="145"/>
      <c r="F87" s="152">
        <f>(D85/P95/P84-C43)/C44/2</f>
        <v>-55709.32707</v>
      </c>
      <c r="H87" s="146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 ht="18.75" customHeight="1">
      <c r="B88" s="136">
        <v>3.0</v>
      </c>
      <c r="C88" s="137" t="s">
        <v>143</v>
      </c>
      <c r="E88" s="42"/>
      <c r="H88" s="166"/>
      <c r="I88" s="155">
        <f>F52+F38</f>
        <v>4</v>
      </c>
      <c r="J88" s="155">
        <f>F6+F18+F27+F34+F37+F39</f>
        <v>50</v>
      </c>
      <c r="K88" s="155">
        <f>F47+F48</f>
        <v>64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 ht="18.75" customHeight="1">
      <c r="B89" s="159"/>
      <c r="C89" s="160" t="s">
        <v>135</v>
      </c>
      <c r="D89" s="161">
        <v>933.75</v>
      </c>
      <c r="E89" s="145"/>
      <c r="H89" s="146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 ht="18.75" customHeight="1">
      <c r="H90" s="166"/>
      <c r="I90" s="155" t="str">
        <f>E40</f>
        <v/>
      </c>
      <c r="J90" s="155">
        <f>E6+E27+E36+E39</f>
        <v>57</v>
      </c>
      <c r="K90" s="155">
        <f>E47+E48</f>
        <v>32</v>
      </c>
      <c r="L90" s="139"/>
      <c r="M90" s="139"/>
      <c r="N90" s="139"/>
      <c r="O90" s="162">
        <f>C44 * (1-J90%-K90%) / (1 + I90% + E45)</f>
        <v>0.05330396476</v>
      </c>
      <c r="P90" s="163">
        <f>ifs(
O90&lt;0.25, 0.25,
true, O90
)
</f>
        <v>0.25</v>
      </c>
      <c r="Q90" s="149">
        <f>ifs(
C45&gt;0, P90,
P90&lt;0.5, 0.5,
true, P90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 ht="18.75" customHeight="1">
      <c r="A92" s="29"/>
      <c r="B92" s="168" t="s">
        <v>14</v>
      </c>
      <c r="C92" s="169">
        <f>(C43+2*D89*C44)*P84*P95</f>
        <v>123583255</v>
      </c>
      <c r="D92" s="170">
        <f>(C43+2*D89*C44)*O84*O95</f>
        <v>38225920.6</v>
      </c>
      <c r="E92" s="171"/>
      <c r="H92" s="148"/>
      <c r="I92" s="155">
        <f>D15+D21+D27+D33+D34+D39+D47+D48</f>
        <v>291</v>
      </c>
      <c r="J92" s="155">
        <f>D12</f>
        <v>50</v>
      </c>
      <c r="K92" s="155"/>
      <c r="L92" s="155"/>
      <c r="M92" s="155"/>
      <c r="N92" s="155"/>
      <c r="O92" s="172">
        <f>I92</f>
        <v>291</v>
      </c>
      <c r="P92" s="172">
        <f>I92+J92</f>
        <v>341</v>
      </c>
      <c r="Q92" s="158"/>
    </row>
    <row r="93" ht="18.75" customHeight="1">
      <c r="A93" s="29"/>
      <c r="B93" s="173" t="s">
        <v>149</v>
      </c>
      <c r="C93" s="174">
        <f>C92/P90</f>
        <v>494333020.2</v>
      </c>
      <c r="D93" s="175">
        <f>D92/P90</f>
        <v>152903682.4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 ht="18.75" customHeight="1">
      <c r="H94" s="138" t="s">
        <v>151</v>
      </c>
      <c r="I94" s="54">
        <f>G62</f>
        <v>1.591</v>
      </c>
      <c r="J94" s="54">
        <f>I62</f>
        <v>1.641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1.591</v>
      </c>
      <c r="P94" s="178">
        <f t="shared" ref="P94:P95" si="22">J94*K94*L94*M94</f>
        <v>1.641</v>
      </c>
      <c r="Q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1.491</v>
      </c>
      <c r="J95" s="54">
        <f>J62</f>
        <v>1.541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1.491</v>
      </c>
      <c r="P95" s="178">
        <f t="shared" si="22"/>
        <v>1.541</v>
      </c>
      <c r="Q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 t="shared" ref="J97:M97" si="23">1+(J18+J47+J48+$N$27)%</f>
        <v>4.63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4.63</v>
      </c>
      <c r="O97" s="187"/>
      <c r="P97" s="187"/>
      <c r="Q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 t="shared" ref="J98:M98" si="24">J97*(1+($O$46+$O$48)%)</f>
        <v>4.63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N97*(1+Q48%)</f>
        <v>7.1765</v>
      </c>
      <c r="O98" s="193"/>
      <c r="P98" s="193"/>
      <c r="Q98" s="194"/>
    </row>
    <row r="99" ht="7.5" customHeight="1"/>
    <row r="100" ht="18.75" customHeight="1">
      <c r="A100" s="195" t="s">
        <v>158</v>
      </c>
      <c r="C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 ht="18.75" customHeight="1">
      <c r="A102" s="198" t="b">
        <v>0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3069245400</v>
      </c>
      <c r="F102" s="199">
        <f>$C$92*$P$86*$P$94/$P$95*I98
/
ifs(
A101=true,1000000000,
A102=true,1000000,
A103=true,1000,
true,1
)</f>
        <v>3125102496</v>
      </c>
      <c r="H102" s="199">
        <f>C92*Q86*P94/P95*J98
/
ifs(
A101=true,1000000000,
A102=true,1000000,
A103=true,1000,
true,1
)</f>
        <v>6882287304</v>
      </c>
      <c r="J102" s="199">
        <f>$C$92*$P$86*$P$94/$P$95*K98
/
ifs(
A101=true,1000000000,
A102=true,1000000,
A103=true,1000,
true,1
)</f>
        <v>2050406615</v>
      </c>
      <c r="L102" s="199">
        <f>$C$92*$P$86*$P$94/$P$95*L98
/
ifs(
A101=true,1000000000,
A102=true,1000000,
A103=true,1000,
true,1
)</f>
        <v>2050406615</v>
      </c>
      <c r="N102" s="199">
        <f>$C$92*$P$86*$P$94/$P$95*M98
/
ifs(
A101=true,1000000000,
A102=true,1000000,
A103=true,1000,
true,1
)</f>
        <v>2050406615</v>
      </c>
      <c r="P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292727267.5</v>
      </c>
      <c r="F103" s="199">
        <f>$C$92*$P$94/$P$95*I98
/
ifs(
A101=true,1000000000,
A102=true,1000000,
A103=true,1000,
true,1
)</f>
        <v>290842484.5</v>
      </c>
      <c r="H103" s="199">
        <f>$C$92*$P$94/$P$95*J98
/
ifs(
A101=true,1000000000,
A102=true,1000000,
A103=true,1000,
true,1
)</f>
        <v>609321585.1</v>
      </c>
      <c r="J103" s="199">
        <f>$C$92*$P$94/$P$95*K98
/
ifs(
A101=true,1000000000,
A102=true,1000000,
A103=true,1000,
true,1
)</f>
        <v>190824254.5</v>
      </c>
      <c r="L103" s="199">
        <f>$C$92*$P$94/$P$95*L98
/
ifs(
A101=true,1000000000,
A102=true,1000000,
A103=true,1000,
true,1
)</f>
        <v>190824254.5</v>
      </c>
      <c r="N103" s="199">
        <f>$C$92*$P$94/$P$95*M98
/
ifs(
A101=true,1000000000,
A102=true,1000000,
A103=true,1000,
true,1
)</f>
        <v>190824254.5</v>
      </c>
      <c r="P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13447890668</v>
      </c>
      <c r="F104" s="201">
        <f>$D$93*(1+$P$88%*$P$86)*$P$94/$P$95*I98
/
ifs(
A101=true,1000000000,
A102=true,1000000,
A103=true,1000,
true,1
)</f>
        <v>4226386222</v>
      </c>
      <c r="H104" s="201">
        <f>$D$93*(1+$P$88%*Q86)*$P$94/$P$95*J98
/
ifs(
A101=true,1000000000,
A102=true,1000000,
A103=true,1000,
true,1
)</f>
        <v>9269011290</v>
      </c>
      <c r="J104" s="201">
        <f>$D$93*(1+$P$88%*$P$86)*$P$94/$P$95*K98
/
ifs(
A101=true,1000000000,
A102=true,1000000,
A103=true,1000,
true,1
)</f>
        <v>2772968335</v>
      </c>
      <c r="L104" s="201">
        <f>$D$93*(1+$P$88%*$P$86)*$P$94/$P$95*L98
/
ifs(
A101=true,1000000000,
A102=true,1000000,
A103=true,1000,
true,1
)</f>
        <v>2772968335</v>
      </c>
      <c r="N104" s="201">
        <f>$D$93*(1+$P$88%*$P$86)*$P$94/$P$95*M98
/
ifs(
A101=true,1000000000,
A102=true,1000000,
A103=true,1000,
true,1
)</f>
        <v>2772968335</v>
      </c>
      <c r="P104" s="54"/>
    </row>
  </sheetData>
  <mergeCells count="95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N104:O104"/>
    <mergeCell ref="P104:Q104"/>
    <mergeCell ref="F103:G103"/>
    <mergeCell ref="H103:I103"/>
    <mergeCell ref="J103:K103"/>
    <mergeCell ref="L103:M103"/>
    <mergeCell ref="N103:O103"/>
    <mergeCell ref="P103:Q103"/>
    <mergeCell ref="A104:B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4" t="s">
        <v>70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>
        <v>17.0</v>
      </c>
      <c r="E47" s="75">
        <v>16.0</v>
      </c>
      <c r="F47" s="75">
        <v>16.0</v>
      </c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>
        <v>74.0</v>
      </c>
      <c r="E48" s="75">
        <v>16.0</v>
      </c>
      <c r="F48" s="75">
        <v>48.0</v>
      </c>
      <c r="G48" s="67">
        <v>610.0</v>
      </c>
      <c r="H48" s="68">
        <v>171.0</v>
      </c>
      <c r="I48" s="76"/>
      <c r="J48" s="76">
        <v>270.0</v>
      </c>
      <c r="K48" s="76"/>
      <c r="L48" s="76"/>
      <c r="M48" s="92"/>
      <c r="N48" s="50"/>
      <c r="O48" s="93"/>
      <c r="P48" s="94">
        <v>5.0</v>
      </c>
      <c r="Q48" s="95">
        <v>55.0</v>
      </c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1</v>
      </c>
      <c r="F58" s="104" t="b">
        <v>0</v>
      </c>
      <c r="G58" s="105">
        <f t="shared" ref="G58:G59" si="1">if(and(E58=true,D58&gt;0),D58%,"")</f>
        <v>0.1</v>
      </c>
      <c r="H58" s="97" t="str">
        <f t="shared" ref="H58:H61" si="2">if(F58=true,G58,"")</f>
        <v/>
      </c>
      <c r="I58" s="105">
        <f t="shared" ref="I58:I59" si="3">if(and(E58=true,D58&gt;0),D58%,"")</f>
        <v>0.1</v>
      </c>
      <c r="J58" s="97" t="str">
        <f t="shared" ref="J58:J61" si="4">if(F58=true,I58,"")</f>
        <v/>
      </c>
      <c r="K58" s="105" t="s">
        <v>178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1</v>
      </c>
      <c r="F59" s="108" t="b">
        <v>1</v>
      </c>
      <c r="G59" s="105">
        <f t="shared" si="1"/>
        <v>0.2</v>
      </c>
      <c r="H59" s="97">
        <f t="shared" si="2"/>
        <v>0.2</v>
      </c>
      <c r="I59" s="105">
        <f t="shared" si="3"/>
        <v>0.2</v>
      </c>
      <c r="J59" s="97">
        <f t="shared" si="4"/>
        <v>0.2</v>
      </c>
    </row>
    <row r="60" ht="18.75" customHeight="1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0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 ht="18.75" customHeight="1">
      <c r="A61" s="106"/>
      <c r="B61" s="101">
        <v>4.0</v>
      </c>
      <c r="C61" s="97" t="s">
        <v>108</v>
      </c>
      <c r="D61" s="110">
        <v>10.0</v>
      </c>
      <c r="E61" s="111" t="b">
        <v>1</v>
      </c>
      <c r="F61" s="112" t="b">
        <v>1</v>
      </c>
      <c r="G61" s="105">
        <f>if(E61=true,(if(O92&gt;400,400,O92)*D61%)%,"")</f>
        <v>0.291</v>
      </c>
      <c r="H61" s="97">
        <f t="shared" si="2"/>
        <v>0.291</v>
      </c>
      <c r="I61" s="105">
        <f>if(E61=true,(if(P92&gt;400,400,P92)*D61%)%,"")</f>
        <v>0.341</v>
      </c>
      <c r="J61" s="97">
        <f t="shared" si="4"/>
        <v>0.341</v>
      </c>
    </row>
    <row r="62" ht="18.75" customHeight="1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1.591</v>
      </c>
      <c r="H62" s="101">
        <f t="shared" si="5"/>
        <v>1.491</v>
      </c>
      <c r="I62" s="115">
        <f t="shared" si="5"/>
        <v>1.641</v>
      </c>
      <c r="J62" s="101">
        <f t="shared" si="5"/>
        <v>1.541</v>
      </c>
    </row>
    <row r="63" ht="7.5" customHeight="1">
      <c r="A63" s="54"/>
      <c r="Q63" s="54"/>
    </row>
    <row r="64" ht="18.75" customHeight="1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 ht="18.75" customHeight="1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180</v>
      </c>
    </row>
    <row r="66" ht="18.75" customHeight="1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 ht="18.75" customHeight="1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 ht="18.75" customHeight="1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 ht="7.5" customHeight="1">
      <c r="A69" s="54"/>
      <c r="Q69" s="54"/>
    </row>
    <row r="70" ht="18.75" customHeight="1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 ht="18.75" customHeight="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 ht="18.75" customHeight="1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 ht="18.75" customHeight="1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 ht="18.75" customHeight="1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 ht="7.5" customHeight="1">
      <c r="A75" s="54"/>
      <c r="Q75" s="54"/>
    </row>
    <row r="76" ht="18.75" customHeight="1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 ht="18.75" customHeight="1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 ht="18.75" customHeight="1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 ht="18.75" customHeight="1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 ht="18.75" customHeight="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 ht="7.5" customHeight="1">
      <c r="A82" s="54"/>
      <c r="Q82" s="54"/>
    </row>
    <row r="83" ht="18.75" customHeight="1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 ht="18.75" customHeight="1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2.504</v>
      </c>
      <c r="K84" s="139">
        <f>1+( (H6-10)+H33+H34+H35+H39+H47+H48+H49+H55)%</f>
        <v>5.03</v>
      </c>
      <c r="L84" s="139">
        <f>( (H6-5)+H12+H24)%</f>
        <v>1.01</v>
      </c>
      <c r="M84" s="139">
        <f>1+(H3+H9)%</f>
        <v>2.605</v>
      </c>
      <c r="N84" s="139"/>
      <c r="O84" s="140">
        <f>I84*J84*K84</f>
        <v>13.3508272</v>
      </c>
      <c r="P84" s="140">
        <f>I84*J84*(K84+L84)*M84</f>
        <v>41.76234301</v>
      </c>
      <c r="Q84" s="142"/>
    </row>
    <row r="85" ht="18.75" customHeight="1">
      <c r="B85" s="143"/>
      <c r="C85" s="137" t="s">
        <v>135</v>
      </c>
      <c r="D85" s="144">
        <v>1.07543896E8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 ht="18.75" customHeight="1">
      <c r="B86" s="136">
        <v>2.0</v>
      </c>
      <c r="C86" s="137" t="s">
        <v>139</v>
      </c>
      <c r="E86" s="42"/>
      <c r="H86" s="148"/>
      <c r="I86" s="139">
        <f>1.75+(G18+G27+G47+G48+G55)%</f>
        <v>9.935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10.485</v>
      </c>
      <c r="P86" s="140">
        <f>I86+J86</f>
        <v>10.745</v>
      </c>
      <c r="Q86" s="149">
        <f>I86+J86+K86</f>
        <v>11.295</v>
      </c>
    </row>
    <row r="87" ht="18.75" customHeight="1">
      <c r="B87" s="143"/>
      <c r="C87" s="150" t="s">
        <v>140</v>
      </c>
      <c r="D87" s="151" t="str">
        <f>if(or((D85/P95/P84-C43)/C44/2&lt;800,(D85/P95/P84-C43)/C44/2&gt;1200), "확인필요", (D85/P95/P84-C43)/C44/2)</f>
        <v>확인필요</v>
      </c>
      <c r="E87" s="145"/>
      <c r="F87" s="152">
        <f>(D85/P95/P84-C43)/C44/2</f>
        <v>-55709.32707</v>
      </c>
      <c r="H87" s="146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 ht="18.75" customHeight="1">
      <c r="B88" s="136">
        <v>3.0</v>
      </c>
      <c r="C88" s="137" t="s">
        <v>143</v>
      </c>
      <c r="E88" s="42"/>
      <c r="H88" s="166"/>
      <c r="I88" s="155">
        <f>F52+F38</f>
        <v>4</v>
      </c>
      <c r="J88" s="155">
        <f>F6+F18+F27+F34+F37+F39</f>
        <v>50</v>
      </c>
      <c r="K88" s="155">
        <f>F47+F48</f>
        <v>64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 ht="18.75" customHeight="1">
      <c r="B89" s="159"/>
      <c r="C89" s="160" t="s">
        <v>135</v>
      </c>
      <c r="D89" s="161">
        <v>933.75</v>
      </c>
      <c r="E89" s="145"/>
      <c r="H89" s="146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 ht="18.75" customHeight="1">
      <c r="H90" s="166"/>
      <c r="I90" s="155" t="str">
        <f>E40</f>
        <v/>
      </c>
      <c r="J90" s="155">
        <f>E6+E27+E36+E39</f>
        <v>57</v>
      </c>
      <c r="K90" s="155">
        <f>E47+E48</f>
        <v>32</v>
      </c>
      <c r="L90" s="139"/>
      <c r="M90" s="139"/>
      <c r="N90" s="139"/>
      <c r="O90" s="162">
        <f>C44 * (1-J90%-K90%) / (1 + I90% + E45)</f>
        <v>0.05330396476</v>
      </c>
      <c r="P90" s="163">
        <f>ifs(
O90&lt;0.25, 0.25,
true, O90
)
</f>
        <v>0.25</v>
      </c>
      <c r="Q90" s="149">
        <f>ifs(
C45&gt;0, P90,
P90&lt;0.5, 0.5,
true, P90
)
</f>
        <v>0.25</v>
      </c>
    </row>
    <row r="91" ht="18.75" customHeight="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 ht="18.75" customHeight="1">
      <c r="A92" s="29"/>
      <c r="B92" s="168" t="s">
        <v>14</v>
      </c>
      <c r="C92" s="169">
        <f>(C43+2*D89*C44)*P84*P95</f>
        <v>123583255</v>
      </c>
      <c r="D92" s="170">
        <f>(C43+2*D89*C44)*O84*O95</f>
        <v>38225920.6</v>
      </c>
      <c r="E92" s="171"/>
      <c r="H92" s="148"/>
      <c r="I92" s="155">
        <f>D15+D21+D27+D33+D34+D39+D47+D48</f>
        <v>291</v>
      </c>
      <c r="J92" s="155">
        <f>D12</f>
        <v>50</v>
      </c>
      <c r="K92" s="155"/>
      <c r="L92" s="155"/>
      <c r="M92" s="155"/>
      <c r="N92" s="155"/>
      <c r="O92" s="172">
        <f>I92</f>
        <v>291</v>
      </c>
      <c r="P92" s="172">
        <f>I92+J92</f>
        <v>341</v>
      </c>
      <c r="Q92" s="158"/>
    </row>
    <row r="93" ht="18.75" customHeight="1">
      <c r="A93" s="29"/>
      <c r="B93" s="173" t="s">
        <v>149</v>
      </c>
      <c r="C93" s="174">
        <f>C92/P90</f>
        <v>494333020.2</v>
      </c>
      <c r="D93" s="175">
        <f>D92/P90</f>
        <v>152903682.4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 ht="18.75" customHeight="1">
      <c r="H94" s="138" t="s">
        <v>151</v>
      </c>
      <c r="I94" s="54">
        <f>G62</f>
        <v>1.591</v>
      </c>
      <c r="J94" s="54">
        <f>I62</f>
        <v>1.641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1.591</v>
      </c>
      <c r="P94" s="178">
        <f t="shared" ref="P94:P95" si="22">J94*K94*L94*M94</f>
        <v>1.641</v>
      </c>
      <c r="Q94" s="179"/>
    </row>
    <row r="95" ht="18.75" customHeight="1">
      <c r="B95" s="180"/>
      <c r="C95" s="181"/>
      <c r="D95" s="181"/>
      <c r="E95" s="182"/>
      <c r="H95" s="138" t="s">
        <v>14</v>
      </c>
      <c r="I95" s="54">
        <f>H62</f>
        <v>1.491</v>
      </c>
      <c r="J95" s="54">
        <f>J62</f>
        <v>1.541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1.491</v>
      </c>
      <c r="P95" s="178">
        <f t="shared" si="22"/>
        <v>1.541</v>
      </c>
      <c r="Q95" s="179"/>
    </row>
    <row r="96" ht="18.75" customHeight="1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 ht="18.75" customHeight="1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2.21</v>
      </c>
      <c r="J97" s="187">
        <f t="shared" ref="J97:M97" si="23">1+(J18+J47+J48+$N$27)%</f>
        <v>4.63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4.63</v>
      </c>
      <c r="O97" s="187"/>
      <c r="P97" s="187"/>
      <c r="Q97" s="188"/>
    </row>
    <row r="98" ht="18.75" customHeight="1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2.21</v>
      </c>
      <c r="J98" s="193">
        <f t="shared" ref="J98:M98" si="24">J97*(1+($O$46+$O$48)%)</f>
        <v>4.63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N97*(1+Q48%)</f>
        <v>7.1765</v>
      </c>
      <c r="O98" s="193"/>
      <c r="P98" s="193"/>
      <c r="Q98" s="194"/>
    </row>
    <row r="99" ht="7.5" customHeight="1"/>
    <row r="100" ht="18.75" customHeight="1">
      <c r="A100" s="195" t="s">
        <v>158</v>
      </c>
      <c r="C100" s="195" t="s">
        <v>151</v>
      </c>
    </row>
    <row r="101" ht="18.75" customHeight="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 ht="18.75" customHeight="1">
      <c r="A102" s="198" t="b">
        <v>0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3069245400</v>
      </c>
      <c r="F102" s="199">
        <f>$C$92*$P$86*$P$94/$P$95*I98
/
ifs(
A101=true,1000000000,
A102=true,1000000,
A103=true,1000,
true,1
)</f>
        <v>3125102496</v>
      </c>
      <c r="H102" s="199">
        <f>C92*Q86*P94/P95*J98
/
ifs(
A101=true,1000000000,
A102=true,1000000,
A103=true,1000,
true,1
)</f>
        <v>6882287304</v>
      </c>
      <c r="J102" s="199">
        <f>$C$92*$P$86*$P$94/$P$95*K98
/
ifs(
A101=true,1000000000,
A102=true,1000000,
A103=true,1000,
true,1
)</f>
        <v>2050406615</v>
      </c>
      <c r="L102" s="199">
        <f>$C$92*$P$86*$P$94/$P$95*L98
/
ifs(
A101=true,1000000000,
A102=true,1000000,
A103=true,1000,
true,1
)</f>
        <v>2050406615</v>
      </c>
      <c r="N102" s="199">
        <f>$C$92*$P$86*$P$94/$P$95*M98
/
ifs(
A101=true,1000000000,
A102=true,1000000,
A103=true,1000,
true,1
)</f>
        <v>2050406615</v>
      </c>
      <c r="P102" s="54"/>
    </row>
    <row r="103" ht="18.75" customHeight="1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292727267.5</v>
      </c>
      <c r="F103" s="199">
        <f>$C$92*$P$94/$P$95*I98
/
ifs(
A101=true,1000000000,
A102=true,1000000,
A103=true,1000,
true,1
)</f>
        <v>290842484.5</v>
      </c>
      <c r="H103" s="199">
        <f>$C$92*$P$94/$P$95*J98
/
ifs(
A101=true,1000000000,
A102=true,1000000,
A103=true,1000,
true,1
)</f>
        <v>609321585.1</v>
      </c>
      <c r="J103" s="199">
        <f>$C$92*$P$94/$P$95*K98
/
ifs(
A101=true,1000000000,
A102=true,1000000,
A103=true,1000,
true,1
)</f>
        <v>190824254.5</v>
      </c>
      <c r="L103" s="199">
        <f>$C$92*$P$94/$P$95*L98
/
ifs(
A101=true,1000000000,
A102=true,1000000,
A103=true,1000,
true,1
)</f>
        <v>190824254.5</v>
      </c>
      <c r="N103" s="199">
        <f>$C$92*$P$94/$P$95*M98
/
ifs(
A101=true,1000000000,
A102=true,1000000,
A103=true,1000,
true,1
)</f>
        <v>190824254.5</v>
      </c>
      <c r="P103" s="54"/>
    </row>
    <row r="104" ht="18.75" customHeight="1">
      <c r="A104" s="57"/>
      <c r="C104" s="10" t="s">
        <v>164</v>
      </c>
      <c r="D104" s="201">
        <f>D93*(1+P88%*O86)*O94/O95*N98
/
ifs(
A101=true,1000000000,
A102=true,1000000,
A103=true,1000,
true,1
)</f>
        <v>13447890668</v>
      </c>
      <c r="F104" s="201">
        <f>$D$93*(1+$P$88%*$P$86)*$P$94/$P$95*I98
/
ifs(
A101=true,1000000000,
A102=true,1000000,
A103=true,1000,
true,1
)</f>
        <v>4226386222</v>
      </c>
      <c r="H104" s="201">
        <f>$D$93*(1+$P$88%*Q86)*$P$94/$P$95*J98
/
ifs(
A101=true,1000000000,
A102=true,1000000,
A103=true,1000,
true,1
)</f>
        <v>9269011290</v>
      </c>
      <c r="J104" s="201">
        <f>$D$93*(1+$P$88%*$P$86)*$P$94/$P$95*K98
/
ifs(
A101=true,1000000000,
A102=true,1000000,
A103=true,1000,
true,1
)</f>
        <v>2772968335</v>
      </c>
      <c r="L104" s="201">
        <f>$D$93*(1+$P$88%*$P$86)*$P$94/$P$95*L98
/
ifs(
A101=true,1000000000,
A102=true,1000000,
A103=true,1000,
true,1
)</f>
        <v>2772968335</v>
      </c>
      <c r="N104" s="201">
        <f>$D$93*(1+$P$88%*$P$86)*$P$94/$P$95*M98
/
ifs(
A101=true,1000000000,
A102=true,1000000,
A103=true,1000,
true,1
)</f>
        <v>2772968335</v>
      </c>
      <c r="P104" s="54"/>
    </row>
  </sheetData>
  <mergeCells count="95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N104:O104"/>
    <mergeCell ref="P104:Q104"/>
    <mergeCell ref="F103:G103"/>
    <mergeCell ref="H103:I103"/>
    <mergeCell ref="J103:K103"/>
    <mergeCell ref="L103:M103"/>
    <mergeCell ref="N103:O103"/>
    <mergeCell ref="P103:Q103"/>
    <mergeCell ref="A104:B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>
      <c r="A4" s="54"/>
      <c r="Q4" s="54"/>
    </row>
    <row r="5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>
      <c r="A7" s="54"/>
      <c r="Q7" s="54"/>
    </row>
    <row r="8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>
      <c r="A9" s="59"/>
      <c r="B9" s="31" t="s">
        <v>50</v>
      </c>
      <c r="C9" s="35">
        <v>398.0</v>
      </c>
      <c r="D9" s="36"/>
      <c r="E9" s="38"/>
      <c r="F9" s="38"/>
      <c r="G9" s="40"/>
      <c r="H9" s="62">
        <f>(C9-125)*0.5</f>
        <v>136.5</v>
      </c>
      <c r="I9" s="47"/>
      <c r="J9" s="47"/>
      <c r="K9" s="47"/>
      <c r="L9" s="47"/>
      <c r="M9" s="47"/>
      <c r="N9" s="50"/>
      <c r="O9" s="51"/>
      <c r="P9" s="52"/>
      <c r="Q9" s="53"/>
    </row>
    <row r="10">
      <c r="A10" s="54"/>
      <c r="Q10" s="54"/>
    </row>
    <row r="1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>
      <c r="A13" s="54"/>
      <c r="Q13" s="54"/>
    </row>
    <row r="14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>
      <c r="A16" s="54"/>
      <c r="Q16" s="54"/>
    </row>
    <row r="17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>
      <c r="A18" s="59"/>
      <c r="D18" s="36"/>
      <c r="E18" s="38"/>
      <c r="F18" s="75">
        <v>17.0</v>
      </c>
      <c r="G18" s="67">
        <v>105.5</v>
      </c>
      <c r="H18" s="68">
        <v>84.8</v>
      </c>
      <c r="I18" s="76">
        <v>66.0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>
      <c r="A19" s="54"/>
      <c r="Q19" s="54"/>
    </row>
    <row r="20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>
      <c r="A21" s="59"/>
      <c r="D21" s="64">
        <v>20.0</v>
      </c>
      <c r="E21" s="38"/>
      <c r="F21" s="38"/>
      <c r="G21" s="40"/>
      <c r="H21" s="68">
        <v>14.0</v>
      </c>
      <c r="I21" s="47"/>
      <c r="J21" s="47"/>
      <c r="K21" s="47"/>
      <c r="L21" s="47"/>
      <c r="M21" s="47"/>
      <c r="N21" s="50"/>
      <c r="O21" s="51"/>
      <c r="P21" s="52"/>
      <c r="Q21" s="53"/>
    </row>
    <row r="22">
      <c r="A22" s="54"/>
      <c r="Q22" s="54"/>
    </row>
    <row r="23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>
      <c r="A24" s="59"/>
      <c r="D24" s="36"/>
      <c r="E24" s="38"/>
      <c r="F24" s="38"/>
      <c r="G24" s="67">
        <v>16.0</v>
      </c>
      <c r="H24" s="68">
        <v>16.0</v>
      </c>
      <c r="I24" s="47"/>
      <c r="J24" s="47"/>
      <c r="K24" s="47"/>
      <c r="L24" s="47"/>
      <c r="M24" s="47"/>
      <c r="N24" s="50"/>
      <c r="O24" s="51"/>
      <c r="P24" s="52"/>
      <c r="Q24" s="53"/>
    </row>
    <row r="25">
      <c r="A25" s="54"/>
      <c r="Q25" s="54"/>
    </row>
    <row r="26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>
      <c r="A27" s="29"/>
      <c r="D27" s="64">
        <v>75.0</v>
      </c>
      <c r="E27" s="75">
        <v>12.0</v>
      </c>
      <c r="F27" s="75">
        <v>12.0</v>
      </c>
      <c r="G27" s="67">
        <v>85.0</v>
      </c>
      <c r="H27" s="68">
        <v>58.0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>
      <c r="A28" s="54"/>
      <c r="Q28" s="54"/>
    </row>
    <row r="29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>
      <c r="A31" s="54"/>
      <c r="Q31" s="54"/>
    </row>
    <row r="32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>
      <c r="A41" s="54"/>
      <c r="Q41" s="54"/>
    </row>
    <row r="42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>
      <c r="A43" s="29"/>
      <c r="B43" s="79" t="s">
        <v>86</v>
      </c>
      <c r="C43" s="88">
        <v>2003305.0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>
      <c r="A44" s="29"/>
      <c r="B44" s="79" t="s">
        <v>87</v>
      </c>
      <c r="C44" s="89">
        <v>2.3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>
      <c r="A45" s="29"/>
      <c r="B45" s="79" t="s">
        <v>88</v>
      </c>
      <c r="C45" s="90">
        <v>0.0</v>
      </c>
      <c r="D45" s="36"/>
      <c r="E45" s="82" t="str">
        <f>if(
C45&gt;0,
1.2+0.18*C45,
"")</f>
        <v/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>
      <c r="A47" s="29"/>
      <c r="B47" s="79" t="s">
        <v>57</v>
      </c>
      <c r="C47" s="87" t="s">
        <v>83</v>
      </c>
      <c r="D47" s="64">
        <v>16.0</v>
      </c>
      <c r="E47" s="75">
        <v>10.0</v>
      </c>
      <c r="F47" s="75">
        <v>10.0</v>
      </c>
      <c r="G47" s="67">
        <v>34.0</v>
      </c>
      <c r="H47" s="68">
        <v>31.0</v>
      </c>
      <c r="I47" s="92"/>
      <c r="J47" s="76">
        <v>36.0</v>
      </c>
      <c r="K47" s="76"/>
      <c r="L47" s="92"/>
      <c r="M47" s="92"/>
      <c r="N47" s="50"/>
      <c r="O47" s="51"/>
      <c r="P47" s="52"/>
      <c r="Q47" s="53"/>
    </row>
    <row r="48">
      <c r="A48" s="29"/>
      <c r="B48" s="79" t="s">
        <v>0</v>
      </c>
      <c r="C48" s="87" t="s">
        <v>83</v>
      </c>
      <c r="D48" s="64">
        <v>17.0</v>
      </c>
      <c r="E48" s="75">
        <v>16.0</v>
      </c>
      <c r="F48" s="75">
        <v>46.0</v>
      </c>
      <c r="G48" s="67">
        <v>557.0</v>
      </c>
      <c r="H48" s="68">
        <v>263.0</v>
      </c>
      <c r="I48" s="76"/>
      <c r="J48" s="76">
        <v>303.0</v>
      </c>
      <c r="K48" s="76"/>
      <c r="L48" s="76"/>
      <c r="M48" s="92"/>
      <c r="N48" s="50"/>
      <c r="O48" s="93"/>
      <c r="P48" s="94">
        <v>5.0</v>
      </c>
      <c r="Q48" s="95">
        <v>55.0</v>
      </c>
    </row>
    <row r="49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>
      <c r="A50" s="54"/>
      <c r="Q50" s="54"/>
    </row>
    <row r="5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>
      <c r="A52" s="29"/>
      <c r="B52" s="14"/>
      <c r="C52" s="35" t="s">
        <v>94</v>
      </c>
      <c r="D52" s="36"/>
      <c r="E52" s="38"/>
      <c r="F52" s="82">
        <f>ifs(
or(C52="버서커", C52="팔라딘", C52="다크나이트"), 3,
or(C52="레인저", C52="소서러"), 6,
true, ""
)</f>
        <v>6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>
      <c r="A53" s="54"/>
      <c r="Q53" s="54"/>
    </row>
    <row r="54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>
      <c r="A56" s="54"/>
      <c r="Q56" s="54"/>
    </row>
    <row r="57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>
      <c r="A58" s="54"/>
      <c r="B58" s="101">
        <v>1.0</v>
      </c>
      <c r="C58" s="97" t="s">
        <v>103</v>
      </c>
      <c r="D58" s="102">
        <v>10.0</v>
      </c>
      <c r="E58" s="103" t="b">
        <v>0</v>
      </c>
      <c r="F58" s="104" t="b">
        <v>0</v>
      </c>
      <c r="G58" s="105" t="str">
        <f t="shared" ref="G58:G59" si="1">if(and(E58=true,D58&gt;0),D58%,"")</f>
        <v/>
      </c>
      <c r="H58" s="97" t="str">
        <f t="shared" ref="H58:H61" si="2">if(F58=true,G58,"")</f>
        <v/>
      </c>
      <c r="I58" s="105" t="str">
        <f t="shared" ref="I58:I59" si="3">if(and(E58=true,D58&gt;0),D58%,"")</f>
        <v/>
      </c>
      <c r="J58" s="97" t="str">
        <f t="shared" ref="J58:J61" si="4">if(F58=true,I58,"")</f>
        <v/>
      </c>
      <c r="K58" s="105" t="s">
        <v>179</v>
      </c>
    </row>
    <row r="59">
      <c r="A59" s="106"/>
      <c r="B59" s="101">
        <v>2.0</v>
      </c>
      <c r="C59" s="97" t="s">
        <v>105</v>
      </c>
      <c r="D59" s="107">
        <v>20.0</v>
      </c>
      <c r="E59" s="105" t="b">
        <v>0</v>
      </c>
      <c r="F59" s="108" t="b">
        <v>0</v>
      </c>
      <c r="G59" s="105" t="str">
        <f t="shared" si="1"/>
        <v/>
      </c>
      <c r="H59" s="97" t="str">
        <f t="shared" si="2"/>
        <v/>
      </c>
      <c r="I59" s="105" t="str">
        <f t="shared" si="3"/>
        <v/>
      </c>
      <c r="J59" s="97" t="str">
        <f t="shared" si="4"/>
        <v/>
      </c>
    </row>
    <row r="60">
      <c r="A60" s="106"/>
      <c r="B60" s="101">
        <v>3.0</v>
      </c>
      <c r="C60" s="97" t="s">
        <v>106</v>
      </c>
      <c r="D60" s="109">
        <v>10.0</v>
      </c>
      <c r="E60" s="105" t="b">
        <v>0</v>
      </c>
      <c r="F60" s="108" t="b">
        <v>0</v>
      </c>
      <c r="G60" s="105" t="str">
        <f>if(E60=true,(if(O92&gt;300,300,O92)*D60%)%,"")</f>
        <v/>
      </c>
      <c r="H60" s="97" t="str">
        <f t="shared" si="2"/>
        <v/>
      </c>
      <c r="I60" s="105" t="str">
        <f>if(E60=true,(if(P92&gt;300,300,P92)*D60%)%,"")</f>
        <v/>
      </c>
      <c r="J60" s="97" t="str">
        <f t="shared" si="4"/>
        <v/>
      </c>
    </row>
    <row r="61">
      <c r="A61" s="106"/>
      <c r="B61" s="101">
        <v>4.0</v>
      </c>
      <c r="C61" s="97" t="s">
        <v>108</v>
      </c>
      <c r="D61" s="110">
        <v>10.0</v>
      </c>
      <c r="E61" s="111" t="b">
        <v>0</v>
      </c>
      <c r="F61" s="112" t="b">
        <v>1</v>
      </c>
      <c r="G61" s="105" t="str">
        <f>if(E61=true,(if(O92&gt;400,400,O92)*D61%)%,"")</f>
        <v/>
      </c>
      <c r="H61" s="97" t="str">
        <f t="shared" si="2"/>
        <v/>
      </c>
      <c r="I61" s="105" t="str">
        <f>if(E61=true,(if(P92&gt;400,400,P92)*D61%)%,"")</f>
        <v/>
      </c>
      <c r="J61" s="97" t="str">
        <f t="shared" si="4"/>
        <v/>
      </c>
    </row>
    <row r="62">
      <c r="A62" s="106"/>
      <c r="B62" s="99"/>
      <c r="C62" s="79" t="s">
        <v>110</v>
      </c>
      <c r="D62" s="106"/>
      <c r="E62" s="113"/>
      <c r="F62" s="114"/>
      <c r="G62" s="115">
        <f t="shared" ref="G62:J62" si="5">1+sum(G58:G61)</f>
        <v>1</v>
      </c>
      <c r="H62" s="101">
        <f t="shared" si="5"/>
        <v>1</v>
      </c>
      <c r="I62" s="115">
        <f t="shared" si="5"/>
        <v>1</v>
      </c>
      <c r="J62" s="101">
        <f t="shared" si="5"/>
        <v>1</v>
      </c>
    </row>
    <row r="63">
      <c r="A63" s="54"/>
      <c r="Q63" s="54"/>
    </row>
    <row r="64">
      <c r="A64" s="69" t="s">
        <v>63</v>
      </c>
      <c r="B64" s="14" t="s">
        <v>111</v>
      </c>
      <c r="D64" s="97" t="s">
        <v>98</v>
      </c>
      <c r="E64" s="97" t="s">
        <v>99</v>
      </c>
      <c r="F64" s="97" t="s">
        <v>100</v>
      </c>
      <c r="G64" s="116" t="s">
        <v>112</v>
      </c>
      <c r="I64" s="98" t="s">
        <v>113</v>
      </c>
      <c r="K64" s="99"/>
      <c r="L64" s="100"/>
      <c r="M64" s="99"/>
      <c r="N64" s="99"/>
      <c r="O64" s="99"/>
      <c r="P64" s="99"/>
      <c r="Q64" s="99"/>
    </row>
    <row r="65">
      <c r="A65" s="54"/>
      <c r="B65" s="101">
        <v>1.0</v>
      </c>
      <c r="C65" s="97" t="s">
        <v>114</v>
      </c>
      <c r="D65" s="117"/>
      <c r="E65" s="103" t="b">
        <v>0</v>
      </c>
      <c r="F65" s="104" t="b">
        <v>0</v>
      </c>
      <c r="G65" s="118" t="str">
        <f t="shared" ref="G65:G67" si="6">if(and(E65=true,D65&gt;0),D65%,"")</f>
        <v/>
      </c>
      <c r="H65" s="118" t="str">
        <f t="shared" ref="H65:H67" si="7">if(F65=true,G65,"")</f>
        <v/>
      </c>
      <c r="I65" s="105" t="str">
        <f t="shared" ref="I65:I67" si="8">if(and(E65=true,D65&gt;0),D65%,"")</f>
        <v/>
      </c>
      <c r="J65" s="97" t="str">
        <f>if(F65=true,I65,"")</f>
        <v/>
      </c>
      <c r="K65" s="105" t="s">
        <v>181</v>
      </c>
    </row>
    <row r="66">
      <c r="A66" s="106"/>
      <c r="B66" s="101">
        <v>2.0</v>
      </c>
      <c r="C66" s="97" t="s">
        <v>118</v>
      </c>
      <c r="D66" s="119"/>
      <c r="E66" s="105" t="b">
        <v>0</v>
      </c>
      <c r="F66" s="108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ref="J66:J67" si="9">if(and(F66=true,D66&gt;0),G66,"")</f>
        <v/>
      </c>
    </row>
    <row r="67">
      <c r="A67" s="106"/>
      <c r="B67" s="101">
        <v>3.0</v>
      </c>
      <c r="C67" s="97"/>
      <c r="D67" s="120"/>
      <c r="E67" s="111" t="b">
        <v>0</v>
      </c>
      <c r="F67" s="112" t="b">
        <v>0</v>
      </c>
      <c r="G67" s="118" t="str">
        <f t="shared" si="6"/>
        <v/>
      </c>
      <c r="H67" s="118" t="str">
        <f t="shared" si="7"/>
        <v/>
      </c>
      <c r="I67" s="105" t="str">
        <f t="shared" si="8"/>
        <v/>
      </c>
      <c r="J67" s="97" t="str">
        <f t="shared" si="9"/>
        <v/>
      </c>
    </row>
    <row r="68">
      <c r="A68" s="106"/>
      <c r="B68" s="99"/>
      <c r="C68" s="79" t="s">
        <v>110</v>
      </c>
      <c r="D68" s="106"/>
      <c r="E68" s="113"/>
      <c r="F68" s="114"/>
      <c r="G68" s="121">
        <f t="shared" ref="G68:J68" si="10">1+sum(G65:G67)</f>
        <v>1</v>
      </c>
      <c r="H68" s="121">
        <f t="shared" si="10"/>
        <v>1</v>
      </c>
      <c r="I68" s="115">
        <f t="shared" si="10"/>
        <v>1</v>
      </c>
      <c r="J68" s="101">
        <f t="shared" si="10"/>
        <v>1</v>
      </c>
    </row>
    <row r="69">
      <c r="A69" s="54"/>
      <c r="Q69" s="54"/>
    </row>
    <row r="70">
      <c r="A70" s="69" t="s">
        <v>63</v>
      </c>
      <c r="B70" s="14" t="s">
        <v>119</v>
      </c>
      <c r="D70" s="97" t="s">
        <v>98</v>
      </c>
      <c r="E70" s="97" t="s">
        <v>99</v>
      </c>
      <c r="F70" s="97" t="s">
        <v>100</v>
      </c>
      <c r="G70" s="116" t="s">
        <v>112</v>
      </c>
      <c r="I70" s="98" t="s">
        <v>113</v>
      </c>
      <c r="K70" s="99"/>
      <c r="L70" s="100"/>
      <c r="M70" s="99"/>
      <c r="N70" s="99"/>
      <c r="O70" s="99"/>
      <c r="P70" s="99"/>
      <c r="Q70" s="99"/>
    </row>
    <row r="71">
      <c r="A71" s="106"/>
      <c r="B71" s="101">
        <v>1.0</v>
      </c>
      <c r="C71" s="122" t="s">
        <v>120</v>
      </c>
      <c r="D71" s="103"/>
      <c r="E71" s="103" t="b">
        <v>0</v>
      </c>
      <c r="F71" s="104" t="b">
        <v>0</v>
      </c>
      <c r="G71" s="118" t="str">
        <f t="shared" ref="G71:G73" si="11">if(and(E71=true,D71&gt;0),D71%,"")</f>
        <v/>
      </c>
      <c r="H71" s="118" t="str">
        <f t="shared" ref="H71:H73" si="12">if(F71=true,G71,"")</f>
        <v/>
      </c>
      <c r="I71" s="105" t="str">
        <f t="shared" ref="I71:I73" si="13">if(and(E71=true,D71&gt;0),D71%,"")</f>
        <v/>
      </c>
      <c r="J71" s="97" t="str">
        <f>if(F71=true,I71,"")</f>
        <v/>
      </c>
      <c r="K71" s="105" t="s">
        <v>121</v>
      </c>
    </row>
    <row r="72">
      <c r="A72" s="106"/>
      <c r="B72" s="101">
        <v>2.0</v>
      </c>
      <c r="C72" s="123" t="s">
        <v>83</v>
      </c>
      <c r="D72" s="54"/>
      <c r="E72" s="54" t="b">
        <v>0</v>
      </c>
      <c r="F72" s="124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ref="J72:J73" si="14">if(and(F72=true,D72&gt;0),G72,"")</f>
        <v/>
      </c>
    </row>
    <row r="73">
      <c r="A73" s="106"/>
      <c r="B73" s="101">
        <v>3.0</v>
      </c>
      <c r="C73" s="125" t="s">
        <v>83</v>
      </c>
      <c r="D73" s="126"/>
      <c r="E73" s="126" t="b">
        <v>0</v>
      </c>
      <c r="F73" s="127" t="b">
        <v>0</v>
      </c>
      <c r="G73" s="118" t="str">
        <f t="shared" si="11"/>
        <v/>
      </c>
      <c r="H73" s="118" t="str">
        <f t="shared" si="12"/>
        <v/>
      </c>
      <c r="I73" s="105" t="str">
        <f t="shared" si="13"/>
        <v/>
      </c>
      <c r="J73" s="97" t="str">
        <f t="shared" si="14"/>
        <v/>
      </c>
    </row>
    <row r="74">
      <c r="A74" s="106"/>
      <c r="B74" s="99"/>
      <c r="C74" s="79" t="s">
        <v>110</v>
      </c>
      <c r="D74" s="106"/>
      <c r="E74" s="113"/>
      <c r="F74" s="114"/>
      <c r="G74" s="121">
        <f t="shared" ref="G74:J74" si="15">1+sum(G71:G73)</f>
        <v>1</v>
      </c>
      <c r="H74" s="121">
        <f t="shared" si="15"/>
        <v>1</v>
      </c>
      <c r="I74" s="115">
        <f t="shared" si="15"/>
        <v>1</v>
      </c>
      <c r="J74" s="101">
        <f t="shared" si="15"/>
        <v>1</v>
      </c>
    </row>
    <row r="75">
      <c r="A75" s="54"/>
      <c r="Q75" s="54"/>
    </row>
    <row r="76">
      <c r="A76" s="69" t="s">
        <v>63</v>
      </c>
      <c r="B76" s="14" t="s">
        <v>123</v>
      </c>
      <c r="D76" s="97" t="s">
        <v>98</v>
      </c>
      <c r="E76" s="97" t="s">
        <v>99</v>
      </c>
      <c r="F76" s="97" t="s">
        <v>100</v>
      </c>
      <c r="G76" s="116" t="s">
        <v>112</v>
      </c>
      <c r="I76" s="98" t="s">
        <v>113</v>
      </c>
      <c r="K76" s="99"/>
      <c r="L76" s="100"/>
      <c r="M76" s="99"/>
      <c r="N76" s="99"/>
      <c r="O76" s="99"/>
      <c r="P76" s="99"/>
      <c r="Q76" s="99"/>
    </row>
    <row r="77">
      <c r="A77" s="106"/>
      <c r="B77" s="101">
        <v>1.0</v>
      </c>
      <c r="C77" s="122" t="s">
        <v>83</v>
      </c>
      <c r="D77" s="128"/>
      <c r="E77" s="128" t="b">
        <v>0</v>
      </c>
      <c r="F77" s="129" t="b">
        <v>0</v>
      </c>
      <c r="G77" s="118" t="str">
        <f t="shared" ref="G77:G80" si="16">if(and(E77=true,D77&gt;0),D77%,"")</f>
        <v/>
      </c>
      <c r="H77" s="118" t="str">
        <f t="shared" ref="H77:H80" si="17">if(F77=true,G77,"")</f>
        <v/>
      </c>
      <c r="I77" s="105" t="str">
        <f t="shared" ref="I77:I80" si="18">if(and(E77=true,D77&gt;0),D77%,"")</f>
        <v/>
      </c>
      <c r="J77" s="97" t="str">
        <f>if(F77=true,I77,"")</f>
        <v/>
      </c>
      <c r="K77" s="105" t="s">
        <v>124</v>
      </c>
    </row>
    <row r="78">
      <c r="A78" s="106"/>
      <c r="B78" s="101">
        <v>2.0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ref="J78:J80" si="19">if(and(F78=true,D78&gt;0),G78,"")</f>
        <v/>
      </c>
    </row>
    <row r="79">
      <c r="A79" s="106"/>
      <c r="B79" s="101">
        <v>3.0</v>
      </c>
      <c r="C79" s="123" t="s">
        <v>83</v>
      </c>
      <c r="D79" s="54"/>
      <c r="E79" s="54" t="b">
        <v>0</v>
      </c>
      <c r="F79" s="124" t="b">
        <v>0</v>
      </c>
      <c r="G79" s="118" t="str">
        <f t="shared" si="16"/>
        <v/>
      </c>
      <c r="H79" s="118" t="str">
        <f t="shared" si="17"/>
        <v/>
      </c>
      <c r="I79" s="105" t="str">
        <f t="shared" si="18"/>
        <v/>
      </c>
      <c r="J79" s="97" t="str">
        <f t="shared" si="19"/>
        <v/>
      </c>
    </row>
    <row r="80">
      <c r="A80" s="106"/>
      <c r="B80" s="101">
        <v>4.0</v>
      </c>
      <c r="C80" s="125" t="s">
        <v>83</v>
      </c>
      <c r="D80" s="126"/>
      <c r="E80" s="126" t="b">
        <v>0</v>
      </c>
      <c r="F80" s="127" t="b">
        <v>0</v>
      </c>
      <c r="G80" s="121" t="str">
        <f t="shared" si="16"/>
        <v/>
      </c>
      <c r="H80" s="121" t="str">
        <f t="shared" si="17"/>
        <v/>
      </c>
      <c r="I80" s="105" t="str">
        <f t="shared" si="18"/>
        <v/>
      </c>
      <c r="J80" s="97" t="str">
        <f t="shared" si="19"/>
        <v/>
      </c>
    </row>
    <row r="81">
      <c r="A81" s="106"/>
      <c r="B81" s="99"/>
      <c r="C81" s="79" t="s">
        <v>110</v>
      </c>
      <c r="D81" s="106"/>
      <c r="E81" s="113"/>
      <c r="F81" s="114"/>
      <c r="G81" s="121">
        <f t="shared" ref="G81:J81" si="20">1+sum(G77:G80)</f>
        <v>1</v>
      </c>
      <c r="H81" s="121">
        <f t="shared" si="20"/>
        <v>1</v>
      </c>
      <c r="I81" s="115">
        <f t="shared" si="20"/>
        <v>1</v>
      </c>
      <c r="J81" s="101">
        <f t="shared" si="20"/>
        <v>1</v>
      </c>
    </row>
    <row r="82">
      <c r="A82" s="54"/>
      <c r="Q82" s="54"/>
    </row>
    <row r="83">
      <c r="B83" s="130" t="s">
        <v>125</v>
      </c>
      <c r="C83" s="131"/>
      <c r="D83" s="131"/>
      <c r="E83" s="32"/>
      <c r="H83" s="132" t="s">
        <v>126</v>
      </c>
      <c r="I83" s="133" t="s">
        <v>127</v>
      </c>
      <c r="J83" s="133" t="s">
        <v>128</v>
      </c>
      <c r="K83" s="133" t="s">
        <v>129</v>
      </c>
      <c r="L83" s="133" t="s">
        <v>130</v>
      </c>
      <c r="M83" s="133" t="s">
        <v>131</v>
      </c>
      <c r="N83" s="134"/>
      <c r="O83" s="133" t="s">
        <v>132</v>
      </c>
      <c r="P83" s="133" t="s">
        <v>133</v>
      </c>
      <c r="Q83" s="135"/>
    </row>
    <row r="84">
      <c r="B84" s="136">
        <v>1.0</v>
      </c>
      <c r="C84" s="137" t="s">
        <v>134</v>
      </c>
      <c r="E84" s="42"/>
      <c r="H84" s="138"/>
      <c r="I84" s="139">
        <f>1+(H30)%</f>
        <v>1.06</v>
      </c>
      <c r="J84" s="139">
        <f>1+(H15+H18+H21+H27)%</f>
        <v>2.628</v>
      </c>
      <c r="K84" s="139">
        <f>1+( (H6-10)+H33+H34+H35+H39+H47+H48+H49+H55)%</f>
        <v>5.92</v>
      </c>
      <c r="L84" s="139">
        <f>( (H6-5)+H12+H24)%</f>
        <v>0.91</v>
      </c>
      <c r="M84" s="139">
        <f>1+(H3+H9)%</f>
        <v>2.525</v>
      </c>
      <c r="N84" s="139"/>
      <c r="O84" s="140">
        <f>I84*J84*K84</f>
        <v>16.4912256</v>
      </c>
      <c r="P84" s="140">
        <f>I84*J84*(K84+L84)*M84</f>
        <v>48.04114086</v>
      </c>
      <c r="Q84" s="142"/>
    </row>
    <row r="85">
      <c r="B85" s="143"/>
      <c r="C85" s="137" t="s">
        <v>135</v>
      </c>
      <c r="D85" s="144">
        <v>9.7444584E7</v>
      </c>
      <c r="E85" s="145"/>
      <c r="H85" s="146" t="s">
        <v>136</v>
      </c>
      <c r="I85" s="97" t="s">
        <v>127</v>
      </c>
      <c r="J85" s="97" t="s">
        <v>137</v>
      </c>
      <c r="K85" s="97" t="s">
        <v>25</v>
      </c>
      <c r="L85" s="97"/>
      <c r="M85" s="97"/>
      <c r="N85" s="100"/>
      <c r="O85" s="97" t="s">
        <v>132</v>
      </c>
      <c r="P85" s="97" t="s">
        <v>133</v>
      </c>
      <c r="Q85" s="147" t="s">
        <v>138</v>
      </c>
    </row>
    <row r="86">
      <c r="B86" s="136">
        <v>2.0</v>
      </c>
      <c r="C86" s="137" t="s">
        <v>139</v>
      </c>
      <c r="E86" s="42"/>
      <c r="H86" s="148"/>
      <c r="I86" s="139">
        <f>1.75+(G18+G27+G47+G48+G55)%</f>
        <v>9.565</v>
      </c>
      <c r="J86" s="139">
        <f>(G12+G24)%</f>
        <v>0.81</v>
      </c>
      <c r="K86" s="139">
        <f>(Q48)%</f>
        <v>0.55</v>
      </c>
      <c r="L86" s="139"/>
      <c r="M86" s="139"/>
      <c r="N86" s="139"/>
      <c r="O86" s="140">
        <f>I86+K86</f>
        <v>10.115</v>
      </c>
      <c r="P86" s="140">
        <f>I86+J86</f>
        <v>10.375</v>
      </c>
      <c r="Q86" s="149">
        <f>I86+J86+K86</f>
        <v>10.925</v>
      </c>
    </row>
    <row r="87">
      <c r="B87" s="143"/>
      <c r="C87" s="150" t="s">
        <v>140</v>
      </c>
      <c r="D87" s="151" t="str">
        <f>if(or((D85/P95/P84-C43)/C44/2&lt;800,(D85/P95/P84-C43)/C44/2&gt;1200), "확인필요", (D85/P95/P84-C43)/C44/2)</f>
        <v>확인필요</v>
      </c>
      <c r="E87" s="145"/>
      <c r="F87" s="152">
        <f>(D85/P95/P84-C43)/C44/2</f>
        <v>5446.085367</v>
      </c>
      <c r="H87" s="153" t="s">
        <v>141</v>
      </c>
      <c r="I87" s="97" t="s">
        <v>142</v>
      </c>
      <c r="J87" s="97" t="s">
        <v>5</v>
      </c>
      <c r="K87" s="97" t="s">
        <v>0</v>
      </c>
      <c r="L87" s="97"/>
      <c r="M87" s="97"/>
      <c r="N87" s="100"/>
      <c r="O87" s="97"/>
      <c r="P87" s="97"/>
      <c r="Q87" s="147"/>
    </row>
    <row r="88">
      <c r="B88" s="136">
        <v>3.0</v>
      </c>
      <c r="C88" s="137" t="s">
        <v>143</v>
      </c>
      <c r="E88" s="42"/>
      <c r="H88" s="154"/>
      <c r="I88" s="155">
        <f>F52+F38</f>
        <v>7</v>
      </c>
      <c r="J88" s="155">
        <f>F6+F18+F27+F34+F37+F39</f>
        <v>50</v>
      </c>
      <c r="K88" s="155">
        <f>F47+F48</f>
        <v>56</v>
      </c>
      <c r="L88" s="139"/>
      <c r="M88" s="139"/>
      <c r="N88" s="139"/>
      <c r="O88" s="156"/>
      <c r="P88" s="157">
        <f>if(
I88+J88+if(K88&gt;50,50,K88) &gt;100,
100,
I88+J88+if(K88&gt;50,50,K88)
)</f>
        <v>100</v>
      </c>
      <c r="Q88" s="158"/>
    </row>
    <row r="89">
      <c r="B89" s="159"/>
      <c r="C89" s="160" t="s">
        <v>135</v>
      </c>
      <c r="D89" s="161">
        <v>5446.085367</v>
      </c>
      <c r="E89" s="145"/>
      <c r="H89" s="153" t="s">
        <v>10</v>
      </c>
      <c r="I89" s="97" t="s">
        <v>84</v>
      </c>
      <c r="J89" s="97" t="s">
        <v>5</v>
      </c>
      <c r="K89" s="97" t="s">
        <v>0</v>
      </c>
      <c r="L89" s="97"/>
      <c r="M89" s="97"/>
      <c r="N89" s="100"/>
      <c r="O89" s="97" t="s">
        <v>6</v>
      </c>
      <c r="P89" s="97" t="s">
        <v>145</v>
      </c>
      <c r="Q89" s="147" t="s">
        <v>146</v>
      </c>
    </row>
    <row r="90">
      <c r="H90" s="154"/>
      <c r="I90" s="155" t="str">
        <f>E40</f>
        <v/>
      </c>
      <c r="J90" s="155">
        <f>E6+E27+E36+E39</f>
        <v>57</v>
      </c>
      <c r="K90" s="155">
        <f>E47+E48</f>
        <v>26</v>
      </c>
      <c r="L90" s="139"/>
      <c r="M90" s="139"/>
      <c r="N90" s="139"/>
      <c r="O90" s="162">
        <f>C44 * (1-J90%-K90%) / (1 + I90% + E45)</f>
        <v>0.391</v>
      </c>
      <c r="P90" s="163">
        <f>ifs(
O90&lt;0.25, 0.25,
true, O90
)
</f>
        <v>0.391</v>
      </c>
      <c r="Q90" s="149">
        <f>ifs(
C45&gt;0, P90,
P90&lt;0.5, 0.5,
true, P90
)
</f>
        <v>0.5</v>
      </c>
    </row>
    <row r="91">
      <c r="B91" s="164"/>
      <c r="C91" s="165" t="s">
        <v>133</v>
      </c>
      <c r="D91" s="165" t="s">
        <v>132</v>
      </c>
      <c r="E91" s="167"/>
      <c r="H91" s="146" t="s">
        <v>148</v>
      </c>
      <c r="I91" s="97" t="s">
        <v>127</v>
      </c>
      <c r="J91" s="97" t="s">
        <v>137</v>
      </c>
      <c r="K91" s="97"/>
      <c r="L91" s="97"/>
      <c r="M91" s="97"/>
      <c r="N91" s="100"/>
      <c r="O91" s="97" t="s">
        <v>132</v>
      </c>
      <c r="P91" s="97" t="s">
        <v>133</v>
      </c>
      <c r="Q91" s="147"/>
    </row>
    <row r="92">
      <c r="A92" s="29"/>
      <c r="B92" s="168" t="s">
        <v>14</v>
      </c>
      <c r="C92" s="169">
        <f>(C43+2*D89*C44)*P84*P95</f>
        <v>97444584</v>
      </c>
      <c r="D92" s="170">
        <f>(C43+2*D89*C44)*O84*O95</f>
        <v>33450092.76</v>
      </c>
      <c r="E92" s="171"/>
      <c r="H92" s="148"/>
      <c r="I92" s="155">
        <f>D15+D21+D27+D33+D34+D39+D47+D48</f>
        <v>233</v>
      </c>
      <c r="J92" s="155">
        <f>D12</f>
        <v>50</v>
      </c>
      <c r="K92" s="155"/>
      <c r="L92" s="155"/>
      <c r="M92" s="155"/>
      <c r="N92" s="155"/>
      <c r="O92" s="172">
        <f>I92</f>
        <v>233</v>
      </c>
      <c r="P92" s="172">
        <f>I92+J92</f>
        <v>283</v>
      </c>
      <c r="Q92" s="158"/>
    </row>
    <row r="93">
      <c r="A93" s="29"/>
      <c r="B93" s="173" t="s">
        <v>149</v>
      </c>
      <c r="C93" s="174">
        <f>C92/P90</f>
        <v>249218884.9</v>
      </c>
      <c r="D93" s="175">
        <f>D92/P90</f>
        <v>85550109.37</v>
      </c>
      <c r="E93" s="176"/>
      <c r="H93" s="146" t="s">
        <v>150</v>
      </c>
      <c r="I93" s="97" t="s">
        <v>127</v>
      </c>
      <c r="J93" s="97" t="s">
        <v>137</v>
      </c>
      <c r="K93" s="97" t="s">
        <v>128</v>
      </c>
      <c r="L93" s="97" t="s">
        <v>129</v>
      </c>
      <c r="M93" s="97" t="s">
        <v>131</v>
      </c>
      <c r="N93" s="99"/>
      <c r="O93" s="97" t="s">
        <v>132</v>
      </c>
      <c r="P93" s="97" t="s">
        <v>133</v>
      </c>
      <c r="Q93" s="177"/>
    </row>
    <row r="94">
      <c r="H94" s="138" t="s">
        <v>151</v>
      </c>
      <c r="I94" s="54">
        <f>G62</f>
        <v>1</v>
      </c>
      <c r="J94" s="54">
        <f>I62</f>
        <v>1</v>
      </c>
      <c r="K94" s="54">
        <f>I68</f>
        <v>1</v>
      </c>
      <c r="L94" s="54">
        <f>I74</f>
        <v>1</v>
      </c>
      <c r="M94" s="54">
        <f>I81</f>
        <v>1</v>
      </c>
      <c r="N94" s="54"/>
      <c r="O94" s="178">
        <f t="shared" ref="O94:O95" si="21">I94*K94*L94*M94</f>
        <v>1</v>
      </c>
      <c r="P94" s="178">
        <f t="shared" ref="P94:P95" si="22">J94*K94*L94*M94</f>
        <v>1</v>
      </c>
      <c r="Q94" s="179"/>
    </row>
    <row r="95">
      <c r="B95" s="180"/>
      <c r="C95" s="181"/>
      <c r="D95" s="181"/>
      <c r="E95" s="182"/>
      <c r="H95" s="138" t="s">
        <v>14</v>
      </c>
      <c r="I95" s="54">
        <f>H62</f>
        <v>1</v>
      </c>
      <c r="J95" s="54">
        <f>J62</f>
        <v>1</v>
      </c>
      <c r="K95" s="54">
        <f>J68</f>
        <v>1</v>
      </c>
      <c r="L95" s="54">
        <f>J74</f>
        <v>1</v>
      </c>
      <c r="M95" s="54">
        <f>J81</f>
        <v>1</v>
      </c>
      <c r="N95" s="54"/>
      <c r="O95" s="178">
        <f t="shared" si="21"/>
        <v>1</v>
      </c>
      <c r="P95" s="178">
        <f t="shared" si="22"/>
        <v>1</v>
      </c>
      <c r="Q95" s="179"/>
    </row>
    <row r="96">
      <c r="B96" s="183"/>
      <c r="C96" s="184" t="s">
        <v>152</v>
      </c>
      <c r="D96" s="185"/>
      <c r="E96" s="186"/>
      <c r="F96" s="54"/>
      <c r="G96" s="54"/>
      <c r="H96" s="146" t="s">
        <v>153</v>
      </c>
      <c r="I96" s="97" t="s">
        <v>16</v>
      </c>
      <c r="J96" s="97" t="s">
        <v>18</v>
      </c>
      <c r="K96" s="97" t="s">
        <v>19</v>
      </c>
      <c r="L96" s="97" t="s">
        <v>20</v>
      </c>
      <c r="M96" s="97" t="s">
        <v>21</v>
      </c>
      <c r="N96" s="97" t="s">
        <v>63</v>
      </c>
      <c r="O96" s="97"/>
      <c r="P96" s="97"/>
      <c r="Q96" s="177"/>
    </row>
    <row r="97">
      <c r="B97" s="183"/>
      <c r="C97" s="185"/>
      <c r="D97" s="185"/>
      <c r="E97" s="186"/>
      <c r="F97" s="54"/>
      <c r="G97" s="54"/>
      <c r="H97" s="138" t="s">
        <v>154</v>
      </c>
      <c r="I97" s="187">
        <f>1+(I3+I18+I47+I48+N27)%</f>
        <v>2.16</v>
      </c>
      <c r="J97" s="187">
        <f t="shared" ref="J97:M97" si="23">1+(J18+J47+J48+$N$27)%</f>
        <v>4.94</v>
      </c>
      <c r="K97" s="187">
        <f t="shared" si="23"/>
        <v>1.45</v>
      </c>
      <c r="L97" s="187">
        <f t="shared" si="23"/>
        <v>1.45</v>
      </c>
      <c r="M97" s="187">
        <f t="shared" si="23"/>
        <v>1.45</v>
      </c>
      <c r="N97" s="187">
        <f>J97</f>
        <v>4.94</v>
      </c>
      <c r="O97" s="187"/>
      <c r="P97" s="187"/>
      <c r="Q97" s="188"/>
    </row>
    <row r="98">
      <c r="B98" s="189"/>
      <c r="C98" s="190"/>
      <c r="D98" s="190"/>
      <c r="E98" s="191"/>
      <c r="F98" s="54"/>
      <c r="G98" s="54"/>
      <c r="H98" s="192" t="s">
        <v>156</v>
      </c>
      <c r="I98" s="193">
        <f>I97*(1+(O46+O48)%)</f>
        <v>2.16</v>
      </c>
      <c r="J98" s="193">
        <f t="shared" ref="J98:M98" si="24">J97*(1+($O$46+$O$48)%)</f>
        <v>4.94</v>
      </c>
      <c r="K98" s="193">
        <f t="shared" si="24"/>
        <v>1.45</v>
      </c>
      <c r="L98" s="193">
        <f t="shared" si="24"/>
        <v>1.45</v>
      </c>
      <c r="M98" s="193">
        <f t="shared" si="24"/>
        <v>1.45</v>
      </c>
      <c r="N98" s="193">
        <f>N97*(1+P48%)</f>
        <v>5.187</v>
      </c>
      <c r="O98" s="193"/>
      <c r="P98" s="193"/>
      <c r="Q98" s="194"/>
    </row>
    <row r="100">
      <c r="A100" s="195" t="s">
        <v>158</v>
      </c>
      <c r="C100" s="195" t="s">
        <v>151</v>
      </c>
    </row>
    <row r="101">
      <c r="A101" s="196" t="b">
        <v>0</v>
      </c>
      <c r="B101" s="31" t="s">
        <v>128</v>
      </c>
      <c r="C101" s="197" t="s">
        <v>159</v>
      </c>
      <c r="D101" s="105" t="s">
        <v>132</v>
      </c>
      <c r="F101" s="105" t="s">
        <v>16</v>
      </c>
      <c r="H101" s="105" t="s">
        <v>18</v>
      </c>
      <c r="J101" s="105" t="s">
        <v>19</v>
      </c>
      <c r="L101" s="105" t="s">
        <v>20</v>
      </c>
      <c r="N101" s="105" t="s">
        <v>21</v>
      </c>
      <c r="P101" s="54"/>
    </row>
    <row r="102">
      <c r="A102" s="198" t="b">
        <v>1</v>
      </c>
      <c r="B102" s="31" t="s">
        <v>160</v>
      </c>
      <c r="C102" s="137" t="s">
        <v>161</v>
      </c>
      <c r="D102" s="199">
        <f>D92*O86*O94/O95*N98
/
ifs(
A101=true,1000000000,
A102=true,1000000,
A103=true,1000,
true,1
)</f>
        <v>1755.009459</v>
      </c>
      <c r="F102" s="199">
        <f>$C$92*$P$86*$P$94/$P$95*I98
/
ifs(
A101=true,1000000000,
A102=true,1000000,
A103=true,1000,
true,1
)</f>
        <v>2183.733127</v>
      </c>
      <c r="H102" s="199">
        <f>C92*Q86*P94/P95*J98
/
ifs(
A101=true,1000000000,
A102=true,1000000,
A103=true,1000,
true,1
)</f>
        <v>5259.035476</v>
      </c>
      <c r="J102" s="199">
        <f>$C$92*$P$86*$P$94/$P$95*K98
/
ifs(
A101=true,1000000000,
A102=true,1000000,
A103=true,1000,
true,1
)</f>
        <v>1465.931961</v>
      </c>
      <c r="L102" s="199">
        <f>$C$92*$P$86*$P$94/$P$95*L98
/
ifs(
A101=true,1000000000,
A102=true,1000000,
A103=true,1000,
true,1
)</f>
        <v>1465.931961</v>
      </c>
      <c r="N102" s="199">
        <f>$C$92*$P$86*$P$94/$P$95*M98
/
ifs(
A101=true,1000000000,
A102=true,1000000,
A103=true,1000,
true,1
)</f>
        <v>1465.931961</v>
      </c>
      <c r="P102" s="54"/>
    </row>
    <row r="103">
      <c r="A103" s="200" t="b">
        <v>0</v>
      </c>
      <c r="B103" s="31" t="s">
        <v>162</v>
      </c>
      <c r="C103" s="137" t="s">
        <v>163</v>
      </c>
      <c r="D103" s="199">
        <f>D92*O94/O95*N98
/
ifs(
A101=true,1000000000,
A102=true,1000000,
A103=true,1000,
true,1
)</f>
        <v>173.5056312</v>
      </c>
      <c r="F103" s="199">
        <f>$C$92*$P$94/$P$95*I98
/
ifs(
A101=true,1000000000,
A102=true,1000000,
A103=true,1000,
true,1
)</f>
        <v>210.4803014</v>
      </c>
      <c r="H103" s="199">
        <f>$C$92*$P$94/$P$95*J98
/
ifs(
A101=true,1000000000,
A102=true,1000000,
A103=true,1000,
true,1
)</f>
        <v>481.376245</v>
      </c>
      <c r="J103" s="199">
        <f>$C$92*$P$94/$P$95*K98
/
ifs(
A101=true,1000000000,
A102=true,1000000,
A103=true,1000,
true,1
)</f>
        <v>141.2946468</v>
      </c>
      <c r="L103" s="199">
        <f>$C$92*$P$94/$P$95*L98
/
ifs(
A101=true,1000000000,
A102=true,1000000,
A103=true,1000,
true,1
)</f>
        <v>141.2946468</v>
      </c>
      <c r="N103" s="199">
        <f>$C$92*$P$94/$P$95*M98
/
ifs(
A101=true,1000000000,
A102=true,1000000,
A103=true,1000,
true,1
)</f>
        <v>141.2946468</v>
      </c>
      <c r="P103" s="54"/>
    </row>
    <row r="104">
      <c r="A104" s="57"/>
      <c r="C104" s="10" t="s">
        <v>164</v>
      </c>
      <c r="D104" s="201">
        <f>D93*(1+P88%*O86)*O94/O95*N98
/
ifs(
A101=true,1000000000,
A102=true,1000000,
A103=true,1000,
true,1
)</f>
        <v>4932.263658</v>
      </c>
      <c r="F104" s="201">
        <f>$C$93*(1+$P$88%*$P$86)*$P$94/$P$95*I98
/
ifs(
A101=true,1000000000,
A102=true,1000000,
A103=true,1000,
true,1
)</f>
        <v>6123.308002</v>
      </c>
      <c r="H104" s="201">
        <f>$C$93*(1+$P$88%*Q86)*$P$94/$P$95*J98
/
ifs(
A101=true,1000000000,
A102=true,1000000,
A103=true,1000,
true,1
)</f>
        <v>14681.3599</v>
      </c>
      <c r="J104" s="201">
        <f>$C$93*(1+$P$88%*$P$86)*$P$94/$P$95*K98
/
ifs(
A101=true,1000000000,
A102=true,1000000,
A103=true,1000,
true,1
)</f>
        <v>4110.553983</v>
      </c>
      <c r="L104" s="201">
        <f>$C$93*(1+$P$88%*$P$86)*$P$94/$P$95*L98
/
ifs(
A101=true,1000000000,
A102=true,1000000,
A103=true,1000,
true,1
)</f>
        <v>4110.553983</v>
      </c>
      <c r="N104" s="201">
        <f>$C$93*(1+$P$88%*$P$86)*$P$94/$P$95*M98
/
ifs(
A101=true,1000000000,
A102=true,1000000,
A103=true,1000,
true,1
)</f>
        <v>4110.553983</v>
      </c>
      <c r="P104" s="54"/>
    </row>
  </sheetData>
  <mergeCells count="95">
    <mergeCell ref="A56:P56"/>
    <mergeCell ref="G57:H57"/>
    <mergeCell ref="I57:J57"/>
    <mergeCell ref="K58:Q62"/>
    <mergeCell ref="A63:P63"/>
    <mergeCell ref="G64:H64"/>
    <mergeCell ref="I64:J64"/>
    <mergeCell ref="K65:Q68"/>
    <mergeCell ref="A69:P69"/>
    <mergeCell ref="G70:H70"/>
    <mergeCell ref="I70:J70"/>
    <mergeCell ref="A75:P75"/>
    <mergeCell ref="G76:H76"/>
    <mergeCell ref="I76:J76"/>
    <mergeCell ref="A82:P82"/>
    <mergeCell ref="B83:E83"/>
    <mergeCell ref="C84:E84"/>
    <mergeCell ref="D85:E85"/>
    <mergeCell ref="C86:E86"/>
    <mergeCell ref="D87:E87"/>
    <mergeCell ref="B86:B87"/>
    <mergeCell ref="B88:B89"/>
    <mergeCell ref="C88:E88"/>
    <mergeCell ref="D89:E89"/>
    <mergeCell ref="B90:E90"/>
    <mergeCell ref="D91:E91"/>
    <mergeCell ref="D92:E92"/>
    <mergeCell ref="N101:O101"/>
    <mergeCell ref="P101:Q101"/>
    <mergeCell ref="D93:E93"/>
    <mergeCell ref="A99:Q99"/>
    <mergeCell ref="A100:B100"/>
    <mergeCell ref="C100:Q100"/>
    <mergeCell ref="D101:E101"/>
    <mergeCell ref="F101:G101"/>
    <mergeCell ref="H101:I101"/>
    <mergeCell ref="N102:O102"/>
    <mergeCell ref="P102:Q102"/>
    <mergeCell ref="J101:K101"/>
    <mergeCell ref="L101:M101"/>
    <mergeCell ref="D102:E102"/>
    <mergeCell ref="F102:G102"/>
    <mergeCell ref="H102:I102"/>
    <mergeCell ref="J102:K102"/>
    <mergeCell ref="L102:M102"/>
    <mergeCell ref="F104:G104"/>
    <mergeCell ref="H104:I104"/>
    <mergeCell ref="J104:K104"/>
    <mergeCell ref="L104:M104"/>
    <mergeCell ref="N104:O104"/>
    <mergeCell ref="P104:Q104"/>
    <mergeCell ref="F103:G103"/>
    <mergeCell ref="H103:I103"/>
    <mergeCell ref="J103:K103"/>
    <mergeCell ref="L103:M103"/>
    <mergeCell ref="N103:O103"/>
    <mergeCell ref="P103:Q103"/>
    <mergeCell ref="A104:B104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1:Q74"/>
    <mergeCell ref="K77:Q81"/>
    <mergeCell ref="B51:C51"/>
    <mergeCell ref="B54:C54"/>
    <mergeCell ref="B57:C57"/>
    <mergeCell ref="B64:C64"/>
    <mergeCell ref="B70:C70"/>
    <mergeCell ref="B76:C76"/>
    <mergeCell ref="B84:B85"/>
    <mergeCell ref="D103:E103"/>
    <mergeCell ref="D104:E104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7.38"/>
    <col customWidth="1" min="4" max="17" width="5.5"/>
  </cols>
  <sheetData>
    <row r="1" ht="21.75" customHeight="1">
      <c r="A1" s="202"/>
      <c r="B1" s="7" t="s">
        <v>4</v>
      </c>
      <c r="D1" s="8" t="s">
        <v>7</v>
      </c>
      <c r="E1" s="10" t="s">
        <v>10</v>
      </c>
      <c r="F1" s="10" t="s">
        <v>12</v>
      </c>
      <c r="G1" s="11" t="s">
        <v>13</v>
      </c>
      <c r="H1" s="13" t="s">
        <v>14</v>
      </c>
      <c r="I1" s="14" t="s">
        <v>16</v>
      </c>
      <c r="J1" s="14" t="s">
        <v>18</v>
      </c>
      <c r="K1" s="14" t="s">
        <v>19</v>
      </c>
      <c r="L1" s="14" t="s">
        <v>20</v>
      </c>
      <c r="M1" s="14" t="s">
        <v>21</v>
      </c>
      <c r="N1" s="16" t="s">
        <v>22</v>
      </c>
      <c r="O1" s="17" t="s">
        <v>23</v>
      </c>
      <c r="P1" s="18" t="s">
        <v>24</v>
      </c>
      <c r="Q1" s="19" t="s">
        <v>25</v>
      </c>
    </row>
    <row r="2" ht="18.75" customHeight="1">
      <c r="A2" s="21" t="s">
        <v>26</v>
      </c>
      <c r="B2" s="23" t="s">
        <v>27</v>
      </c>
      <c r="D2" s="25"/>
      <c r="E2" s="25"/>
      <c r="F2" s="25"/>
      <c r="G2" s="25"/>
      <c r="H2" s="27"/>
      <c r="I2" s="27"/>
      <c r="J2" s="25"/>
      <c r="K2" s="25"/>
      <c r="L2" s="25"/>
      <c r="M2" s="25"/>
      <c r="N2" s="25"/>
      <c r="O2" s="25"/>
      <c r="P2" s="25"/>
      <c r="Q2" s="25"/>
    </row>
    <row r="3" ht="18.75" customHeight="1">
      <c r="A3" s="29"/>
      <c r="B3" s="31" t="s">
        <v>29</v>
      </c>
      <c r="C3" s="35" t="s">
        <v>31</v>
      </c>
      <c r="D3" s="36"/>
      <c r="E3" s="38"/>
      <c r="F3" s="38"/>
      <c r="G3" s="40"/>
      <c r="H3" s="43">
        <f>ifs(
C3="1~3", 16,
C3="4~10", 12,
C3="11~20", 8,
true, 0
)</f>
        <v>16</v>
      </c>
      <c r="I3" s="45">
        <f>ifs(
C3="1~3", 10,
C3="4~10", 5,
true, 0
)</f>
        <v>10</v>
      </c>
      <c r="J3" s="47"/>
      <c r="K3" s="47"/>
      <c r="L3" s="47"/>
      <c r="M3" s="47"/>
      <c r="N3" s="50"/>
      <c r="O3" s="51"/>
      <c r="P3" s="52"/>
      <c r="Q3" s="53"/>
    </row>
    <row r="4" ht="7.5" customHeight="1">
      <c r="A4" s="54"/>
      <c r="Q4" s="54"/>
    </row>
    <row r="5" ht="18.75" customHeight="1">
      <c r="A5" s="21" t="s">
        <v>26</v>
      </c>
      <c r="B5" s="31" t="s">
        <v>40</v>
      </c>
      <c r="D5" s="25"/>
      <c r="E5" s="25"/>
      <c r="F5" s="25"/>
      <c r="G5" s="25"/>
      <c r="H5" s="27"/>
      <c r="I5" s="27"/>
      <c r="J5" s="25"/>
      <c r="K5" s="25"/>
      <c r="L5" s="25"/>
      <c r="M5" s="25"/>
      <c r="N5" s="25"/>
      <c r="O5" s="25"/>
      <c r="P5" s="25"/>
      <c r="Q5" s="25"/>
    </row>
    <row r="6" ht="18.75" customHeight="1">
      <c r="A6" s="29"/>
      <c r="B6" s="31" t="s">
        <v>42</v>
      </c>
      <c r="C6" s="57" t="s">
        <v>44</v>
      </c>
      <c r="D6" s="36"/>
      <c r="E6" s="58">
        <v>5.0</v>
      </c>
      <c r="F6" s="58">
        <v>5.0</v>
      </c>
      <c r="G6" s="40"/>
      <c r="H6" s="43">
        <v>15.0</v>
      </c>
      <c r="I6" s="47"/>
      <c r="J6" s="47"/>
      <c r="K6" s="47"/>
      <c r="L6" s="47"/>
      <c r="M6" s="47"/>
      <c r="N6" s="50"/>
      <c r="O6" s="51"/>
      <c r="P6" s="52"/>
      <c r="Q6" s="53"/>
    </row>
    <row r="7" ht="7.5" customHeight="1">
      <c r="A7" s="54"/>
      <c r="Q7" s="54"/>
    </row>
    <row r="8" ht="18.75" customHeight="1">
      <c r="A8" s="21" t="s">
        <v>26</v>
      </c>
      <c r="B8" s="23" t="s">
        <v>47</v>
      </c>
      <c r="D8" s="25"/>
      <c r="E8" s="25"/>
      <c r="F8" s="25"/>
      <c r="G8" s="25"/>
      <c r="H8" s="27"/>
      <c r="I8" s="25"/>
      <c r="J8" s="25"/>
      <c r="K8" s="25"/>
      <c r="L8" s="25"/>
      <c r="M8" s="25"/>
      <c r="N8" s="25"/>
      <c r="O8" s="25"/>
      <c r="P8" s="25"/>
      <c r="Q8" s="25"/>
    </row>
    <row r="9" ht="18.75" customHeight="1">
      <c r="A9" s="59"/>
      <c r="B9" s="31" t="s">
        <v>50</v>
      </c>
      <c r="C9" s="35">
        <v>414.0</v>
      </c>
      <c r="D9" s="36"/>
      <c r="E9" s="38"/>
      <c r="F9" s="38"/>
      <c r="G9" s="40"/>
      <c r="H9" s="62">
        <f>(C9-125)*0.5</f>
        <v>144.5</v>
      </c>
      <c r="I9" s="47"/>
      <c r="J9" s="47"/>
      <c r="K9" s="47"/>
      <c r="L9" s="47"/>
      <c r="M9" s="47"/>
      <c r="N9" s="50"/>
      <c r="O9" s="51"/>
      <c r="P9" s="52"/>
      <c r="Q9" s="53"/>
    </row>
    <row r="10" ht="7.5" customHeight="1">
      <c r="A10" s="54"/>
      <c r="Q10" s="54"/>
    </row>
    <row r="11" ht="18.75" customHeight="1">
      <c r="A11" s="21" t="s">
        <v>26</v>
      </c>
      <c r="B11" s="23" t="s">
        <v>43</v>
      </c>
      <c r="D11" s="25"/>
      <c r="E11" s="25"/>
      <c r="F11" s="25"/>
      <c r="G11" s="25"/>
      <c r="H11" s="27"/>
      <c r="I11" s="27"/>
      <c r="J11" s="25"/>
      <c r="K11" s="25"/>
      <c r="L11" s="25"/>
      <c r="M11" s="25"/>
      <c r="N11" s="25"/>
      <c r="O11" s="25"/>
      <c r="P11" s="25"/>
      <c r="Q11" s="25"/>
    </row>
    <row r="12" ht="18.75" customHeight="1">
      <c r="A12" s="29"/>
      <c r="D12" s="64">
        <v>50.0</v>
      </c>
      <c r="E12" s="66"/>
      <c r="F12" s="38"/>
      <c r="G12" s="67">
        <v>65.0</v>
      </c>
      <c r="H12" s="68">
        <v>65.0</v>
      </c>
      <c r="I12" s="47"/>
      <c r="J12" s="47"/>
      <c r="K12" s="47"/>
      <c r="L12" s="47"/>
      <c r="M12" s="47"/>
      <c r="N12" s="50"/>
      <c r="O12" s="51"/>
      <c r="P12" s="52"/>
      <c r="Q12" s="53"/>
    </row>
    <row r="13" ht="7.5" customHeight="1">
      <c r="A13" s="54"/>
      <c r="Q13" s="54"/>
    </row>
    <row r="14" ht="18.75" customHeight="1">
      <c r="A14" s="69" t="s">
        <v>63</v>
      </c>
      <c r="B14" s="14" t="s">
        <v>64</v>
      </c>
      <c r="D14" s="70"/>
      <c r="E14" s="70"/>
      <c r="F14" s="70"/>
      <c r="G14" s="70"/>
      <c r="H14" s="71"/>
      <c r="I14" s="71"/>
      <c r="J14" s="70"/>
      <c r="K14" s="70"/>
      <c r="L14" s="70"/>
      <c r="M14" s="70"/>
      <c r="N14" s="70"/>
      <c r="O14" s="70"/>
      <c r="P14" s="70"/>
      <c r="Q14" s="70"/>
    </row>
    <row r="15" ht="18.75" customHeight="1">
      <c r="A15" s="29"/>
      <c r="D15" s="64">
        <v>60.0</v>
      </c>
      <c r="E15" s="38"/>
      <c r="F15" s="38"/>
      <c r="G15" s="40"/>
      <c r="H15" s="68">
        <v>6.0</v>
      </c>
      <c r="I15" s="47"/>
      <c r="J15" s="47"/>
      <c r="K15" s="47"/>
      <c r="L15" s="47"/>
      <c r="M15" s="47"/>
      <c r="N15" s="50"/>
      <c r="O15" s="51"/>
      <c r="P15" s="52"/>
      <c r="Q15" s="53"/>
    </row>
    <row r="16" ht="7.5" customHeight="1">
      <c r="A16" s="54"/>
      <c r="Q16" s="54"/>
    </row>
    <row r="17" ht="18.75" customHeight="1">
      <c r="A17" s="21" t="s">
        <v>26</v>
      </c>
      <c r="B17" s="31" t="s">
        <v>48</v>
      </c>
      <c r="D17" s="25"/>
      <c r="E17" s="25"/>
      <c r="F17" s="25"/>
      <c r="G17" s="25"/>
      <c r="H17" s="27"/>
      <c r="I17" s="27"/>
      <c r="J17" s="25"/>
      <c r="K17" s="25"/>
      <c r="L17" s="25"/>
      <c r="M17" s="25"/>
      <c r="N17" s="25"/>
      <c r="O17" s="25"/>
      <c r="P17" s="25"/>
      <c r="Q17" s="25"/>
    </row>
    <row r="18" ht="18.75" customHeight="1">
      <c r="A18" s="59"/>
      <c r="D18" s="36"/>
      <c r="E18" s="38"/>
      <c r="F18" s="75">
        <v>17.0</v>
      </c>
      <c r="G18" s="67">
        <v>130.5</v>
      </c>
      <c r="H18" s="68">
        <v>110.4</v>
      </c>
      <c r="I18" s="76">
        <v>71.0</v>
      </c>
      <c r="J18" s="76">
        <v>15.0</v>
      </c>
      <c r="K18" s="76">
        <v>5.0</v>
      </c>
      <c r="L18" s="76">
        <v>5.0</v>
      </c>
      <c r="M18" s="76">
        <v>5.0</v>
      </c>
      <c r="N18" s="50"/>
      <c r="O18" s="51"/>
      <c r="P18" s="52"/>
      <c r="Q18" s="53"/>
    </row>
    <row r="19" ht="7.5" customHeight="1">
      <c r="A19" s="54"/>
      <c r="Q19" s="54"/>
    </row>
    <row r="20" ht="18.75" customHeight="1">
      <c r="A20" s="69" t="s">
        <v>63</v>
      </c>
      <c r="B20" s="14" t="s">
        <v>68</v>
      </c>
      <c r="D20" s="70"/>
      <c r="E20" s="70"/>
      <c r="F20" s="70"/>
      <c r="G20" s="70"/>
      <c r="H20" s="71"/>
      <c r="I20" s="71"/>
      <c r="J20" s="70"/>
      <c r="K20" s="70"/>
      <c r="L20" s="70"/>
      <c r="M20" s="70"/>
      <c r="N20" s="70"/>
      <c r="O20" s="70"/>
      <c r="P20" s="70"/>
      <c r="Q20" s="70"/>
    </row>
    <row r="21" ht="18.75" customHeight="1">
      <c r="A21" s="59"/>
      <c r="D21" s="64">
        <v>20.0</v>
      </c>
      <c r="E21" s="38"/>
      <c r="F21" s="38"/>
      <c r="G21" s="40"/>
      <c r="H21" s="68">
        <v>16.0</v>
      </c>
      <c r="I21" s="47"/>
      <c r="J21" s="47"/>
      <c r="K21" s="47"/>
      <c r="L21" s="47"/>
      <c r="M21" s="47"/>
      <c r="N21" s="50"/>
      <c r="O21" s="51"/>
      <c r="P21" s="52"/>
      <c r="Q21" s="53"/>
    </row>
    <row r="22" ht="7.5" customHeight="1">
      <c r="A22" s="54"/>
      <c r="Q22" s="54"/>
    </row>
    <row r="23" ht="18.75" customHeight="1">
      <c r="A23" s="21" t="s">
        <v>26</v>
      </c>
      <c r="B23" s="23" t="s">
        <v>69</v>
      </c>
      <c r="D23" s="25"/>
      <c r="E23" s="25"/>
      <c r="F23" s="25"/>
      <c r="G23" s="25"/>
      <c r="H23" s="27"/>
      <c r="I23" s="27"/>
      <c r="J23" s="25"/>
      <c r="K23" s="25"/>
      <c r="L23" s="25"/>
      <c r="M23" s="25"/>
      <c r="N23" s="25"/>
      <c r="O23" s="25"/>
      <c r="P23" s="25"/>
      <c r="Q23" s="25"/>
    </row>
    <row r="24" ht="18.75" customHeight="1">
      <c r="A24" s="59"/>
      <c r="D24" s="36"/>
      <c r="E24" s="38"/>
      <c r="F24" s="38"/>
      <c r="G24" s="67">
        <v>16.0</v>
      </c>
      <c r="H24" s="68">
        <v>26.0</v>
      </c>
      <c r="I24" s="47"/>
      <c r="J24" s="47"/>
      <c r="K24" s="47"/>
      <c r="L24" s="47"/>
      <c r="M24" s="47"/>
      <c r="N24" s="50"/>
      <c r="O24" s="51"/>
      <c r="P24" s="52"/>
      <c r="Q24" s="53"/>
    </row>
    <row r="25" ht="7.5" customHeight="1">
      <c r="A25" s="54"/>
      <c r="Q25" s="54"/>
    </row>
    <row r="26" ht="18.75" customHeight="1">
      <c r="A26" s="69" t="s">
        <v>63</v>
      </c>
      <c r="B26" s="14" t="s">
        <v>71</v>
      </c>
      <c r="D26" s="70"/>
      <c r="E26" s="70"/>
      <c r="F26" s="70"/>
      <c r="G26" s="70"/>
      <c r="H26" s="71"/>
      <c r="I26" s="71"/>
      <c r="J26" s="70"/>
      <c r="K26" s="70"/>
      <c r="L26" s="70"/>
      <c r="M26" s="70"/>
      <c r="N26" s="70"/>
      <c r="O26" s="70"/>
      <c r="P26" s="70"/>
      <c r="Q26" s="70"/>
    </row>
    <row r="27" ht="18.75" customHeight="1">
      <c r="A27" s="29"/>
      <c r="D27" s="64">
        <v>75.0</v>
      </c>
      <c r="E27" s="75">
        <v>12.0</v>
      </c>
      <c r="F27" s="75">
        <v>12.0</v>
      </c>
      <c r="G27" s="67">
        <v>40.0</v>
      </c>
      <c r="H27" s="68">
        <v>18.0</v>
      </c>
      <c r="I27" s="47"/>
      <c r="J27" s="47"/>
      <c r="K27" s="47"/>
      <c r="L27" s="47"/>
      <c r="M27" s="47"/>
      <c r="N27" s="77">
        <v>40.0</v>
      </c>
      <c r="O27" s="51"/>
      <c r="P27" s="52"/>
      <c r="Q27" s="53"/>
    </row>
    <row r="28" ht="7.5" customHeight="1">
      <c r="A28" s="54"/>
      <c r="Q28" s="54"/>
    </row>
    <row r="29" ht="18.75" customHeight="1">
      <c r="A29" s="69" t="s">
        <v>63</v>
      </c>
      <c r="B29" s="14" t="s">
        <v>72</v>
      </c>
      <c r="D29" s="70"/>
      <c r="E29" s="70"/>
      <c r="F29" s="70"/>
      <c r="G29" s="70"/>
      <c r="H29" s="71"/>
      <c r="I29" s="71"/>
      <c r="J29" s="70"/>
      <c r="K29" s="70"/>
      <c r="L29" s="70"/>
      <c r="M29" s="70"/>
      <c r="N29" s="70"/>
      <c r="O29" s="70"/>
      <c r="P29" s="70"/>
      <c r="Q29" s="70"/>
    </row>
    <row r="30" ht="18.75" customHeight="1">
      <c r="A30" s="29"/>
      <c r="B30" s="78"/>
      <c r="C30" s="35" t="s">
        <v>73</v>
      </c>
      <c r="D30" s="36"/>
      <c r="E30" s="38"/>
      <c r="F30" s="38"/>
      <c r="G30" s="40"/>
      <c r="H30" s="62">
        <f>ifs(
C30="공6", 6,
C30="공4", 4,
C30="공2", 2,
true, 0
)</f>
        <v>6</v>
      </c>
      <c r="I30" s="47"/>
      <c r="J30" s="47"/>
      <c r="K30" s="47"/>
      <c r="L30" s="47"/>
      <c r="M30" s="47"/>
      <c r="N30" s="50"/>
      <c r="O30" s="51"/>
      <c r="P30" s="52"/>
      <c r="Q30" s="53"/>
    </row>
    <row r="31" ht="7.5" customHeight="1">
      <c r="A31" s="54"/>
      <c r="Q31" s="54"/>
    </row>
    <row r="32" ht="18.75" customHeight="1">
      <c r="A32" s="69" t="s">
        <v>63</v>
      </c>
      <c r="B32" s="14" t="s">
        <v>74</v>
      </c>
      <c r="D32" s="70"/>
      <c r="E32" s="70"/>
      <c r="F32" s="70"/>
      <c r="G32" s="70"/>
      <c r="H32" s="71"/>
      <c r="I32" s="71"/>
      <c r="J32" s="70"/>
      <c r="K32" s="70"/>
      <c r="L32" s="70"/>
      <c r="M32" s="70"/>
      <c r="N32" s="70"/>
      <c r="O32" s="70"/>
      <c r="P32" s="70"/>
      <c r="Q32" s="70"/>
    </row>
    <row r="33" ht="18.75" customHeight="1">
      <c r="A33" s="29"/>
      <c r="B33" s="79" t="s">
        <v>37</v>
      </c>
      <c r="C33" s="80" t="s">
        <v>75</v>
      </c>
      <c r="D33" s="81">
        <f>ifs(
or(C33="H",C33="H+"),10,
or(C33="L",C33="L+"),20,
or(C33="U",C33="U+"),30,
true,""
)</f>
        <v>30</v>
      </c>
      <c r="E33" s="38"/>
      <c r="F33" s="38"/>
      <c r="G33" s="40"/>
      <c r="H33" s="62">
        <f>ifs(
C33="H",3,
C33="H+",4,
C33="L",5,
C33="L+",6,
C33="U",7,
C33="U+",8,
true,""
)</f>
        <v>8</v>
      </c>
      <c r="I33" s="47"/>
      <c r="J33" s="47"/>
      <c r="K33" s="47"/>
      <c r="L33" s="47"/>
      <c r="M33" s="47"/>
      <c r="N33" s="50"/>
      <c r="O33" s="51"/>
      <c r="P33" s="52"/>
      <c r="Q33" s="53"/>
    </row>
    <row r="34" ht="18.75" customHeight="1">
      <c r="A34" s="29"/>
      <c r="B34" s="79" t="s">
        <v>76</v>
      </c>
      <c r="C34" s="80" t="s">
        <v>77</v>
      </c>
      <c r="D34" s="81" t="str">
        <f>ifs(
or(C34="영웅심리"),7,
or(C34="달리기가빠른"),10,
true,""
)</f>
        <v/>
      </c>
      <c r="E34" s="82" t="str">
        <f>ifs(
or(C34="날쌘돌이"),10,
or(C34="영웅심리"),7,
true,""
)</f>
        <v/>
      </c>
      <c r="F34" s="82" t="str">
        <f>ifs(
or(C34="샤프한"),3,
true,""
)</f>
        <v/>
      </c>
      <c r="G34" s="40"/>
      <c r="H34" s="62" t="str">
        <f>ifs(
or(C34="힘이쎈"),10,
or(C34="영웅심리"),7,
true,""
)</f>
        <v/>
      </c>
      <c r="I34" s="47"/>
      <c r="J34" s="47"/>
      <c r="K34" s="47"/>
      <c r="L34" s="47"/>
      <c r="M34" s="47"/>
      <c r="N34" s="50"/>
      <c r="O34" s="51"/>
      <c r="P34" s="52"/>
      <c r="Q34" s="53"/>
    </row>
    <row r="35" ht="18.75" customHeight="1">
      <c r="A35" s="29"/>
      <c r="B35" s="79" t="s">
        <v>5</v>
      </c>
      <c r="C35" s="80" t="s">
        <v>78</v>
      </c>
      <c r="D35" s="36"/>
      <c r="E35" s="38"/>
      <c r="F35" s="38"/>
      <c r="G35" s="40"/>
      <c r="H35" s="83">
        <f>ifs(
C35="공격력:보라",30,
C35="공격력:주황",20,
C35="공격력:파랑",10,
true,0
)</f>
        <v>30</v>
      </c>
      <c r="I35" s="47"/>
      <c r="J35" s="47"/>
      <c r="K35" s="47"/>
      <c r="L35" s="47"/>
      <c r="M35" s="47"/>
      <c r="N35" s="50"/>
      <c r="O35" s="51"/>
      <c r="P35" s="52"/>
      <c r="Q35" s="53"/>
    </row>
    <row r="36" ht="18.75" customHeight="1">
      <c r="A36" s="29"/>
      <c r="B36" s="79" t="s">
        <v>5</v>
      </c>
      <c r="C36" s="80" t="s">
        <v>79</v>
      </c>
      <c r="D36" s="36"/>
      <c r="E36" s="82">
        <f>ifs(
C36="공격속도:보라",30,
C36="공격속도:주황",20,
C36="공격속도:파랑",10,
true,0
)</f>
        <v>30</v>
      </c>
      <c r="F36" s="38"/>
      <c r="G36" s="40"/>
      <c r="H36" s="84"/>
      <c r="I36" s="47"/>
      <c r="J36" s="47"/>
      <c r="K36" s="47"/>
      <c r="L36" s="47"/>
      <c r="M36" s="47"/>
      <c r="N36" s="50"/>
      <c r="O36" s="51"/>
      <c r="P36" s="52"/>
      <c r="Q36" s="53"/>
    </row>
    <row r="37" ht="18.75" customHeight="1">
      <c r="A37" s="29"/>
      <c r="B37" s="79" t="s">
        <v>5</v>
      </c>
      <c r="C37" s="80" t="s">
        <v>80</v>
      </c>
      <c r="D37" s="36"/>
      <c r="E37" s="38"/>
      <c r="F37" s="82">
        <f>ifs(
C37="치확:보라",6,
C37="치확:주황",4,
C37="치확:파랑",2,
true,0
)</f>
        <v>6</v>
      </c>
      <c r="G37" s="40"/>
      <c r="H37" s="84"/>
      <c r="I37" s="47"/>
      <c r="J37" s="47"/>
      <c r="K37" s="47"/>
      <c r="L37" s="47"/>
      <c r="M37" s="47"/>
      <c r="N37" s="50"/>
      <c r="O37" s="51"/>
      <c r="P37" s="52"/>
      <c r="Q37" s="53"/>
    </row>
    <row r="38" ht="18.75" customHeight="1">
      <c r="A38" s="29"/>
      <c r="B38" s="79" t="s">
        <v>5</v>
      </c>
      <c r="C38" s="80" t="s">
        <v>81</v>
      </c>
      <c r="D38" s="85"/>
      <c r="E38" s="66"/>
      <c r="F38" s="82">
        <f>ifs(
C38="태생치확 +1",1,
C38="태생치확 +0",0,
true,0
)</f>
        <v>1</v>
      </c>
      <c r="G38" s="40"/>
      <c r="H38" s="86"/>
      <c r="I38" s="47"/>
      <c r="J38" s="47"/>
      <c r="K38" s="47"/>
      <c r="L38" s="47"/>
      <c r="M38" s="47"/>
      <c r="N38" s="50"/>
      <c r="O38" s="51"/>
      <c r="P38" s="52"/>
      <c r="Q38" s="53"/>
    </row>
    <row r="39" ht="18.75" customHeight="1">
      <c r="A39" s="29"/>
      <c r="B39" s="79" t="s">
        <v>82</v>
      </c>
      <c r="C39" s="87" t="s">
        <v>83</v>
      </c>
      <c r="D39" s="64">
        <v>15.0</v>
      </c>
      <c r="E39" s="75">
        <v>10.0</v>
      </c>
      <c r="F39" s="75">
        <v>10.0</v>
      </c>
      <c r="G39" s="40"/>
      <c r="H39" s="68">
        <v>15.0</v>
      </c>
      <c r="I39" s="47"/>
      <c r="J39" s="47"/>
      <c r="K39" s="47"/>
      <c r="L39" s="47"/>
      <c r="M39" s="47"/>
      <c r="N39" s="50"/>
      <c r="O39" s="51"/>
      <c r="P39" s="52"/>
      <c r="Q39" s="53"/>
    </row>
    <row r="40" ht="18.75" customHeight="1">
      <c r="A40" s="29"/>
      <c r="B40" s="79" t="s">
        <v>84</v>
      </c>
      <c r="C40" s="80" t="s">
        <v>85</v>
      </c>
      <c r="D40" s="36"/>
      <c r="E40" s="82" t="str">
        <f>ifs(
C40="퀴큰 0", "",
C40="퀴큰 1", 10,
C40="퀴큰 2", 20,
C40="퀴큰 3", 30,
C40="퀴큰 4", 40,
C40="퀴큰 5", 50,
true, ""
)</f>
        <v/>
      </c>
      <c r="F40" s="38"/>
      <c r="G40" s="40"/>
      <c r="H40" s="84"/>
      <c r="I40" s="47"/>
      <c r="J40" s="47"/>
      <c r="K40" s="47"/>
      <c r="L40" s="47"/>
      <c r="M40" s="47"/>
      <c r="N40" s="50"/>
      <c r="O40" s="51"/>
      <c r="P40" s="52"/>
      <c r="Q40" s="53"/>
    </row>
    <row r="41" ht="7.5" customHeight="1">
      <c r="A41" s="54"/>
      <c r="Q41" s="54"/>
    </row>
    <row r="42" ht="18.75" customHeight="1">
      <c r="A42" s="69" t="s">
        <v>63</v>
      </c>
      <c r="B42" s="14" t="s">
        <v>0</v>
      </c>
      <c r="D42" s="70"/>
      <c r="E42" s="70"/>
      <c r="F42" s="70"/>
      <c r="G42" s="70"/>
      <c r="H42" s="71"/>
      <c r="I42" s="71"/>
      <c r="J42" s="70"/>
      <c r="K42" s="70"/>
      <c r="L42" s="70"/>
      <c r="M42" s="70"/>
      <c r="N42" s="70"/>
      <c r="O42" s="70"/>
      <c r="P42" s="70"/>
      <c r="Q42" s="70"/>
    </row>
    <row r="43" ht="18.75" customHeight="1">
      <c r="A43" s="29"/>
      <c r="B43" s="79" t="s">
        <v>86</v>
      </c>
      <c r="C43" s="88">
        <v>1916205.0</v>
      </c>
      <c r="D43" s="36"/>
      <c r="E43" s="38"/>
      <c r="F43" s="38"/>
      <c r="G43" s="40"/>
      <c r="H43" s="84"/>
      <c r="I43" s="47"/>
      <c r="J43" s="47"/>
      <c r="K43" s="47"/>
      <c r="L43" s="47"/>
      <c r="M43" s="47"/>
      <c r="N43" s="50"/>
      <c r="O43" s="51"/>
      <c r="P43" s="52"/>
      <c r="Q43" s="53"/>
    </row>
    <row r="44" ht="18.75" customHeight="1">
      <c r="A44" s="29"/>
      <c r="B44" s="79" t="s">
        <v>87</v>
      </c>
      <c r="C44" s="89">
        <v>2.2</v>
      </c>
      <c r="D44" s="36"/>
      <c r="E44" s="38"/>
      <c r="F44" s="38"/>
      <c r="G44" s="40"/>
      <c r="H44" s="84"/>
      <c r="I44" s="47"/>
      <c r="J44" s="47"/>
      <c r="K44" s="47"/>
      <c r="L44" s="47"/>
      <c r="M44" s="47"/>
      <c r="N44" s="50"/>
      <c r="O44" s="51"/>
      <c r="P44" s="52"/>
      <c r="Q44" s="53"/>
    </row>
    <row r="45" ht="18.75" customHeight="1">
      <c r="A45" s="29"/>
      <c r="B45" s="79" t="s">
        <v>88</v>
      </c>
      <c r="C45" s="90">
        <v>13.0</v>
      </c>
      <c r="D45" s="36"/>
      <c r="E45" s="82">
        <f>if(
C45&gt;0,
1.2+0.18*C45,
"")</f>
        <v>3.54</v>
      </c>
      <c r="F45" s="38"/>
      <c r="G45" s="40"/>
      <c r="H45" s="83"/>
      <c r="I45" s="47"/>
      <c r="J45" s="47"/>
      <c r="K45" s="47"/>
      <c r="L45" s="47"/>
      <c r="M45" s="47"/>
      <c r="N45" s="50"/>
      <c r="O45" s="51"/>
      <c r="P45" s="52"/>
      <c r="Q45" s="53"/>
    </row>
    <row r="46" ht="18.75" customHeight="1">
      <c r="A46" s="29"/>
      <c r="B46" s="79" t="s">
        <v>89</v>
      </c>
      <c r="C46" s="35" t="s">
        <v>77</v>
      </c>
      <c r="D46" s="36"/>
      <c r="E46" s="38"/>
      <c r="F46" s="38"/>
      <c r="G46" s="40"/>
      <c r="H46" s="84"/>
      <c r="I46" s="47"/>
      <c r="J46" s="47"/>
      <c r="K46" s="47"/>
      <c r="L46" s="47"/>
      <c r="M46" s="47"/>
      <c r="N46" s="50"/>
      <c r="O46" s="91" t="str">
        <f>ifs(
C46="정의6", 30,
C46="정의4", 20,
C46="정의2", 10,
true, ""
)</f>
        <v/>
      </c>
      <c r="P46" s="52"/>
      <c r="Q46" s="53"/>
    </row>
    <row r="47" ht="18.75" customHeight="1">
      <c r="A47" s="29"/>
      <c r="B47" s="79" t="s">
        <v>57</v>
      </c>
      <c r="C47" s="87" t="s">
        <v>83</v>
      </c>
      <c r="D47" s="64">
        <v>0.0</v>
      </c>
      <c r="E47" s="75">
        <v>16.0</v>
      </c>
      <c r="F47" s="75">
        <v>16.0</v>
      </c>
      <c r="G47" s="67">
        <v>38.0</v>
      </c>
      <c r="H47" s="68">
        <v>34.0</v>
      </c>
      <c r="I47" s="92"/>
      <c r="J47" s="76">
        <v>38.0</v>
      </c>
      <c r="K47" s="76"/>
      <c r="L47" s="92"/>
      <c r="M47" s="92"/>
      <c r="N47" s="50"/>
      <c r="O47" s="51"/>
      <c r="P47" s="52"/>
      <c r="Q47" s="53"/>
    </row>
    <row r="48" ht="18.75" customHeight="1">
      <c r="A48" s="29"/>
      <c r="B48" s="79" t="s">
        <v>0</v>
      </c>
      <c r="C48" s="87" t="s">
        <v>83</v>
      </c>
      <c r="D48" s="64">
        <v>74.0</v>
      </c>
      <c r="E48" s="75">
        <v>16.0</v>
      </c>
      <c r="F48" s="75">
        <v>48.0</v>
      </c>
      <c r="G48" s="67">
        <v>610.0</v>
      </c>
      <c r="H48" s="68">
        <v>171.0</v>
      </c>
      <c r="I48" s="76"/>
      <c r="J48" s="76">
        <v>270.0</v>
      </c>
      <c r="K48" s="76"/>
      <c r="L48" s="76"/>
      <c r="M48" s="92"/>
      <c r="N48" s="50"/>
      <c r="O48" s="93">
        <v>40.0</v>
      </c>
      <c r="P48" s="224"/>
      <c r="Q48" s="95"/>
    </row>
    <row r="49" ht="18.75" customHeight="1">
      <c r="A49" s="29"/>
      <c r="B49" s="79" t="s">
        <v>90</v>
      </c>
      <c r="C49" s="87" t="s">
        <v>91</v>
      </c>
      <c r="D49" s="36"/>
      <c r="E49" s="38"/>
      <c r="F49" s="38"/>
      <c r="G49" s="40"/>
      <c r="H49" s="96">
        <v>90.0</v>
      </c>
      <c r="I49" s="47"/>
      <c r="J49" s="47"/>
      <c r="K49" s="47"/>
      <c r="L49" s="47"/>
      <c r="M49" s="47"/>
      <c r="N49" s="50"/>
      <c r="O49" s="51"/>
      <c r="P49" s="52"/>
      <c r="Q49" s="53"/>
    </row>
    <row r="50" ht="7.5" customHeight="1">
      <c r="A50" s="54"/>
      <c r="Q50" s="54"/>
    </row>
    <row r="51" ht="18.75" customHeight="1">
      <c r="A51" s="69" t="s">
        <v>63</v>
      </c>
      <c r="B51" s="14" t="s">
        <v>92</v>
      </c>
      <c r="D51" s="70"/>
      <c r="E51" s="70"/>
      <c r="F51" s="70"/>
      <c r="G51" s="70"/>
      <c r="H51" s="71"/>
      <c r="I51" s="71"/>
      <c r="J51" s="70"/>
      <c r="K51" s="70"/>
      <c r="L51" s="70"/>
      <c r="M51" s="70"/>
      <c r="N51" s="70"/>
      <c r="O51" s="70"/>
      <c r="P51" s="70"/>
      <c r="Q51" s="70"/>
    </row>
    <row r="52" ht="18.75" customHeight="1">
      <c r="A52" s="29"/>
      <c r="B52" s="14"/>
      <c r="C52" s="35" t="s">
        <v>93</v>
      </c>
      <c r="D52" s="36"/>
      <c r="E52" s="38"/>
      <c r="F52" s="82">
        <f>ifs(
or(C52="버서커", C52="팔라딘", C52="다크나이트"), 3,
or(C52="레인저", C52="소서러"), 6,
true, ""
)</f>
        <v>3</v>
      </c>
      <c r="G52" s="40"/>
      <c r="H52" s="84"/>
      <c r="I52" s="47"/>
      <c r="J52" s="47"/>
      <c r="K52" s="47"/>
      <c r="L52" s="47"/>
      <c r="M52" s="47"/>
      <c r="N52" s="50"/>
      <c r="O52" s="51"/>
      <c r="P52" s="52"/>
      <c r="Q52" s="53"/>
    </row>
    <row r="53" ht="7.5" customHeight="1">
      <c r="A53" s="54"/>
      <c r="Q53" s="54"/>
    </row>
    <row r="54" ht="18.75" customHeight="1">
      <c r="A54" s="69" t="s">
        <v>63</v>
      </c>
      <c r="B54" s="14" t="s">
        <v>95</v>
      </c>
      <c r="D54" s="70"/>
      <c r="E54" s="70"/>
      <c r="F54" s="70"/>
      <c r="G54" s="70"/>
      <c r="H54" s="71"/>
      <c r="I54" s="71"/>
      <c r="J54" s="70"/>
      <c r="K54" s="70"/>
      <c r="L54" s="70"/>
      <c r="M54" s="70"/>
      <c r="N54" s="70"/>
      <c r="O54" s="70"/>
      <c r="P54" s="70"/>
      <c r="Q54" s="70"/>
    </row>
    <row r="55" ht="18.75" customHeight="1">
      <c r="A55" s="29"/>
      <c r="B55" s="79" t="s">
        <v>96</v>
      </c>
      <c r="C55" s="87" t="s">
        <v>83</v>
      </c>
      <c r="D55" s="36"/>
      <c r="E55" s="38"/>
      <c r="F55" s="38"/>
      <c r="G55" s="67"/>
      <c r="H55" s="68">
        <v>50.0</v>
      </c>
      <c r="I55" s="47"/>
      <c r="J55" s="47"/>
      <c r="K55" s="47"/>
      <c r="L55" s="47"/>
      <c r="M55" s="47"/>
      <c r="N55" s="50"/>
      <c r="O55" s="51"/>
      <c r="P55" s="52"/>
      <c r="Q55" s="53"/>
    </row>
    <row r="56" ht="7.5" customHeight="1">
      <c r="A56" s="54"/>
      <c r="Q56" s="54"/>
    </row>
    <row r="57" ht="18.75" customHeight="1">
      <c r="A57" s="69" t="s">
        <v>63</v>
      </c>
      <c r="B57" s="14" t="s">
        <v>97</v>
      </c>
      <c r="D57" s="97" t="s">
        <v>98</v>
      </c>
      <c r="E57" s="97" t="s">
        <v>99</v>
      </c>
      <c r="F57" s="97" t="s">
        <v>100</v>
      </c>
      <c r="G57" s="98" t="s">
        <v>101</v>
      </c>
      <c r="I57" s="98" t="s">
        <v>102</v>
      </c>
      <c r="K57" s="99"/>
      <c r="L57" s="100"/>
      <c r="M57" s="99"/>
      <c r="N57" s="99"/>
      <c r="O57" s="99"/>
      <c r="P57" s="99"/>
      <c r="Q57" s="99"/>
    </row>
    <row r="58" ht="18.75" customHeight="1">
      <c r="A58" s="54"/>
      <c r="B58" s="101">
        <v>1.0</v>
      </c>
      <c r="C58" s="97" t="s">
        <v>103</v>
      </c>
      <c r="D58" s="102">
        <v>10.0</v>
      </c>
      <c r="E58" s="103" t="b">
        <v>0</v>
      </c>
      <c r="F58" s="104" t="b">
        <v>0</v>
      </c>
      <c r="G58" s="105" t="str">
        <f t="shared" ref="G58:G59" si="1">if(and(E58=true,D58&gt;0),D58%,"")</f>
        <v/>
      </c>
      <c r="H58" s="97" t="str">
        <f t="shared" ref="H58:H60" si="2">if(F58=true,G58,"")</f>
        <v/>
      </c>
      <c r="I58" s="105" t="str">
        <f t="shared" ref="I58:I59" si="3">if(and(E58=true,D58&gt;0),D58%,"")</f>
        <v/>
      </c>
      <c r="J58" s="97" t="str">
        <f t="shared" ref="J58:J60" si="4">if(F58=true,I58,"")</f>
        <v/>
      </c>
      <c r="K58" s="105" t="s">
        <v>182</v>
      </c>
    </row>
    <row r="59" ht="18.75" customHeight="1">
      <c r="A59" s="106"/>
      <c r="B59" s="101">
        <v>2.0</v>
      </c>
      <c r="C59" s="97" t="s">
        <v>105</v>
      </c>
      <c r="D59" s="107">
        <v>20.0</v>
      </c>
      <c r="E59" s="105" t="b">
        <v>0</v>
      </c>
      <c r="F59" s="108" t="b">
        <v>1</v>
      </c>
      <c r="G59" s="105" t="str">
        <f t="shared" si="1"/>
        <v/>
      </c>
      <c r="H59" s="97" t="str">
        <f t="shared" si="2"/>
        <v/>
      </c>
      <c r="I59" s="105" t="str">
        <f t="shared" si="3"/>
        <v/>
      </c>
      <c r="J59" s="97" t="str">
        <f t="shared" si="4"/>
        <v/>
      </c>
    </row>
    <row r="60" ht="18.75" customHeight="1">
      <c r="A60" s="106"/>
      <c r="B60" s="101">
        <v>3.0</v>
      </c>
      <c r="C60" s="97" t="s">
        <v>183</v>
      </c>
      <c r="D60" s="225" t="s">
        <v>15</v>
      </c>
      <c r="E60" s="111" t="b">
        <v>0</v>
      </c>
      <c r="F60" s="112" t="b">
        <v>1</v>
      </c>
      <c r="G60" s="105" t="str">
        <f>if(E60=true,(O91/10)%,"")</f>
        <v/>
      </c>
      <c r="H60" s="97" t="str">
        <f t="shared" si="2"/>
        <v/>
      </c>
      <c r="I60" s="105" t="str">
        <f>if(E60=true,(P91/10)%,"")</f>
        <v/>
      </c>
      <c r="J60" s="97" t="str">
        <f t="shared" si="4"/>
        <v/>
      </c>
    </row>
    <row r="61" ht="18.75" customHeight="1">
      <c r="A61" s="106"/>
      <c r="B61" s="99"/>
      <c r="C61" s="79" t="s">
        <v>110</v>
      </c>
      <c r="D61" s="106"/>
      <c r="E61" s="113"/>
      <c r="F61" s="114"/>
      <c r="G61" s="115">
        <f t="shared" ref="G61:J61" si="5">1+sum(G58:G60)</f>
        <v>1</v>
      </c>
      <c r="H61" s="101">
        <f t="shared" si="5"/>
        <v>1</v>
      </c>
      <c r="I61" s="115">
        <f t="shared" si="5"/>
        <v>1</v>
      </c>
      <c r="J61" s="101">
        <f t="shared" si="5"/>
        <v>1</v>
      </c>
    </row>
    <row r="62" ht="7.5" customHeight="1">
      <c r="A62" s="54"/>
      <c r="Q62" s="54"/>
    </row>
    <row r="63" ht="18.75" customHeight="1">
      <c r="A63" s="69" t="s">
        <v>63</v>
      </c>
      <c r="B63" s="14" t="s">
        <v>111</v>
      </c>
      <c r="D63" s="97" t="s">
        <v>98</v>
      </c>
      <c r="E63" s="97" t="s">
        <v>99</v>
      </c>
      <c r="F63" s="97" t="s">
        <v>100</v>
      </c>
      <c r="G63" s="116" t="s">
        <v>112</v>
      </c>
      <c r="I63" s="98" t="s">
        <v>113</v>
      </c>
      <c r="K63" s="99"/>
      <c r="L63" s="100"/>
      <c r="M63" s="99"/>
      <c r="N63" s="99"/>
      <c r="O63" s="99"/>
      <c r="P63" s="99"/>
      <c r="Q63" s="99"/>
    </row>
    <row r="64" ht="18.75" customHeight="1">
      <c r="A64" s="54"/>
      <c r="B64" s="101">
        <v>1.0</v>
      </c>
      <c r="C64" s="97" t="s">
        <v>114</v>
      </c>
      <c r="D64" s="117"/>
      <c r="E64" s="128" t="b">
        <v>0</v>
      </c>
      <c r="F64" s="104" t="b">
        <v>0</v>
      </c>
      <c r="G64" s="118" t="str">
        <f t="shared" ref="G64:G66" si="6">if(and(E64=true,D64&gt;0),D64%,"")</f>
        <v/>
      </c>
      <c r="H64" s="118" t="str">
        <f t="shared" ref="H64:H66" si="7">if(F64=true,G64,"")</f>
        <v/>
      </c>
      <c r="I64" s="105" t="str">
        <f t="shared" ref="I64:I66" si="8">if(and(E64=true,D64&gt;0),D64%,"")</f>
        <v/>
      </c>
      <c r="J64" s="97" t="str">
        <f>if(F64=true,I64,"")</f>
        <v/>
      </c>
      <c r="K64" s="105" t="s">
        <v>184</v>
      </c>
    </row>
    <row r="65" ht="18.75" customHeight="1">
      <c r="A65" s="106"/>
      <c r="B65" s="101">
        <v>2.0</v>
      </c>
      <c r="C65" s="97" t="s">
        <v>118</v>
      </c>
      <c r="D65" s="119"/>
      <c r="E65" s="105" t="b">
        <v>0</v>
      </c>
      <c r="F65" s="108" t="b">
        <v>0</v>
      </c>
      <c r="G65" s="118" t="str">
        <f t="shared" si="6"/>
        <v/>
      </c>
      <c r="H65" s="118" t="str">
        <f t="shared" si="7"/>
        <v/>
      </c>
      <c r="I65" s="105" t="str">
        <f t="shared" si="8"/>
        <v/>
      </c>
      <c r="J65" s="97" t="str">
        <f t="shared" ref="J65:J66" si="9">if(and(F65=true,D65&gt;0),G65,"")</f>
        <v/>
      </c>
    </row>
    <row r="66" ht="18.75" customHeight="1">
      <c r="A66" s="106"/>
      <c r="B66" s="101">
        <v>3.0</v>
      </c>
      <c r="C66" s="97"/>
      <c r="D66" s="120"/>
      <c r="E66" s="111" t="b">
        <v>0</v>
      </c>
      <c r="F66" s="112" t="b">
        <v>0</v>
      </c>
      <c r="G66" s="118" t="str">
        <f t="shared" si="6"/>
        <v/>
      </c>
      <c r="H66" s="118" t="str">
        <f t="shared" si="7"/>
        <v/>
      </c>
      <c r="I66" s="105" t="str">
        <f t="shared" si="8"/>
        <v/>
      </c>
      <c r="J66" s="97" t="str">
        <f t="shared" si="9"/>
        <v/>
      </c>
    </row>
    <row r="67" ht="18.75" customHeight="1">
      <c r="A67" s="106"/>
      <c r="B67" s="99"/>
      <c r="C67" s="79" t="s">
        <v>110</v>
      </c>
      <c r="D67" s="106"/>
      <c r="E67" s="113"/>
      <c r="F67" s="114"/>
      <c r="G67" s="121">
        <f t="shared" ref="G67:J67" si="10">1+sum(G64:G66)</f>
        <v>1</v>
      </c>
      <c r="H67" s="121">
        <f t="shared" si="10"/>
        <v>1</v>
      </c>
      <c r="I67" s="115">
        <f t="shared" si="10"/>
        <v>1</v>
      </c>
      <c r="J67" s="101">
        <f t="shared" si="10"/>
        <v>1</v>
      </c>
    </row>
    <row r="68" ht="7.5" customHeight="1">
      <c r="A68" s="54"/>
      <c r="Q68" s="54"/>
    </row>
    <row r="69" ht="18.75" customHeight="1">
      <c r="A69" s="69" t="s">
        <v>63</v>
      </c>
      <c r="B69" s="14" t="s">
        <v>119</v>
      </c>
      <c r="D69" s="97" t="s">
        <v>98</v>
      </c>
      <c r="E69" s="97" t="s">
        <v>99</v>
      </c>
      <c r="F69" s="97" t="s">
        <v>100</v>
      </c>
      <c r="G69" s="116" t="s">
        <v>112</v>
      </c>
      <c r="I69" s="98" t="s">
        <v>113</v>
      </c>
      <c r="K69" s="99"/>
      <c r="L69" s="100"/>
      <c r="M69" s="99"/>
      <c r="N69" s="99"/>
      <c r="O69" s="99"/>
      <c r="P69" s="99"/>
      <c r="Q69" s="99"/>
    </row>
    <row r="70" ht="18.75" customHeight="1">
      <c r="A70" s="106"/>
      <c r="B70" s="101">
        <v>1.0</v>
      </c>
      <c r="C70" s="122" t="s">
        <v>120</v>
      </c>
      <c r="D70" s="103"/>
      <c r="E70" s="103" t="b">
        <v>0</v>
      </c>
      <c r="F70" s="104" t="b">
        <v>1</v>
      </c>
      <c r="G70" s="118" t="str">
        <f t="shared" ref="G70:G72" si="11">if(and(E70=true,D70&gt;0),D70%,"")</f>
        <v/>
      </c>
      <c r="H70" s="118" t="str">
        <f t="shared" ref="H70:H72" si="12">if(F70=true,G70,"")</f>
        <v/>
      </c>
      <c r="I70" s="105" t="str">
        <f t="shared" ref="I70:I72" si="13">if(and(E70=true,D70&gt;0),D70%,"")</f>
        <v/>
      </c>
      <c r="J70" s="97" t="str">
        <f>if(F70=true,I70,"")</f>
        <v/>
      </c>
      <c r="K70" s="105" t="s">
        <v>121</v>
      </c>
    </row>
    <row r="71" ht="18.75" customHeight="1">
      <c r="A71" s="106"/>
      <c r="B71" s="101">
        <v>2.0</v>
      </c>
      <c r="C71" s="123" t="s">
        <v>83</v>
      </c>
      <c r="D71" s="54"/>
      <c r="E71" s="54" t="b">
        <v>0</v>
      </c>
      <c r="F71" s="124" t="b">
        <v>0</v>
      </c>
      <c r="G71" s="118" t="str">
        <f t="shared" si="11"/>
        <v/>
      </c>
      <c r="H71" s="118" t="str">
        <f t="shared" si="12"/>
        <v/>
      </c>
      <c r="I71" s="105" t="str">
        <f t="shared" si="13"/>
        <v/>
      </c>
      <c r="J71" s="97" t="str">
        <f t="shared" ref="J71:J72" si="14">if(and(F71=true,D71&gt;0),G71,"")</f>
        <v/>
      </c>
    </row>
    <row r="72" ht="18.75" customHeight="1">
      <c r="A72" s="106"/>
      <c r="B72" s="101">
        <v>3.0</v>
      </c>
      <c r="C72" s="125" t="s">
        <v>83</v>
      </c>
      <c r="D72" s="126"/>
      <c r="E72" s="126" t="b">
        <v>0</v>
      </c>
      <c r="F72" s="127" t="b">
        <v>0</v>
      </c>
      <c r="G72" s="118" t="str">
        <f t="shared" si="11"/>
        <v/>
      </c>
      <c r="H72" s="118" t="str">
        <f t="shared" si="12"/>
        <v/>
      </c>
      <c r="I72" s="105" t="str">
        <f t="shared" si="13"/>
        <v/>
      </c>
      <c r="J72" s="97" t="str">
        <f t="shared" si="14"/>
        <v/>
      </c>
    </row>
    <row r="73" ht="18.75" customHeight="1">
      <c r="A73" s="106"/>
      <c r="B73" s="99"/>
      <c r="C73" s="79" t="s">
        <v>110</v>
      </c>
      <c r="D73" s="106"/>
      <c r="E73" s="113"/>
      <c r="F73" s="114"/>
      <c r="G73" s="121">
        <f t="shared" ref="G73:J73" si="15">1+sum(G70:G72)</f>
        <v>1</v>
      </c>
      <c r="H73" s="121">
        <f t="shared" si="15"/>
        <v>1</v>
      </c>
      <c r="I73" s="115">
        <f t="shared" si="15"/>
        <v>1</v>
      </c>
      <c r="J73" s="101">
        <f t="shared" si="15"/>
        <v>1</v>
      </c>
    </row>
    <row r="74" ht="7.5" customHeight="1">
      <c r="A74" s="54"/>
      <c r="Q74" s="54"/>
    </row>
    <row r="75" ht="18.75" customHeight="1">
      <c r="A75" s="69" t="s">
        <v>63</v>
      </c>
      <c r="B75" s="14" t="s">
        <v>123</v>
      </c>
      <c r="D75" s="97" t="s">
        <v>98</v>
      </c>
      <c r="E75" s="97" t="s">
        <v>99</v>
      </c>
      <c r="F75" s="97" t="s">
        <v>100</v>
      </c>
      <c r="G75" s="116" t="s">
        <v>112</v>
      </c>
      <c r="I75" s="98" t="s">
        <v>113</v>
      </c>
      <c r="K75" s="99"/>
      <c r="L75" s="100"/>
      <c r="M75" s="99"/>
      <c r="N75" s="99"/>
      <c r="O75" s="99"/>
      <c r="P75" s="99"/>
      <c r="Q75" s="99"/>
    </row>
    <row r="76" ht="18.75" customHeight="1">
      <c r="A76" s="106"/>
      <c r="B76" s="101">
        <v>1.0</v>
      </c>
      <c r="C76" s="122" t="s">
        <v>83</v>
      </c>
      <c r="D76" s="128"/>
      <c r="E76" s="128" t="b">
        <v>0</v>
      </c>
      <c r="F76" s="129" t="b">
        <v>0</v>
      </c>
      <c r="G76" s="118" t="str">
        <f t="shared" ref="G76:G79" si="16">if(and(E76=true,D76&gt;0),D76%,"")</f>
        <v/>
      </c>
      <c r="H76" s="118" t="str">
        <f t="shared" ref="H76:H79" si="17">if(F76=true,G76,"")</f>
        <v/>
      </c>
      <c r="I76" s="105" t="str">
        <f t="shared" ref="I76:I79" si="18">if(and(E76=true,D76&gt;0),D76%,"")</f>
        <v/>
      </c>
      <c r="J76" s="97" t="str">
        <f>if(F76=true,I76,"")</f>
        <v/>
      </c>
      <c r="K76" s="105" t="s">
        <v>124</v>
      </c>
    </row>
    <row r="77" ht="18.75" customHeight="1">
      <c r="A77" s="106"/>
      <c r="B77" s="101">
        <v>2.0</v>
      </c>
      <c r="C77" s="123" t="s">
        <v>83</v>
      </c>
      <c r="D77" s="54"/>
      <c r="E77" s="54" t="b">
        <v>0</v>
      </c>
      <c r="F77" s="124" t="b">
        <v>0</v>
      </c>
      <c r="G77" s="118" t="str">
        <f t="shared" si="16"/>
        <v/>
      </c>
      <c r="H77" s="118" t="str">
        <f t="shared" si="17"/>
        <v/>
      </c>
      <c r="I77" s="105" t="str">
        <f t="shared" si="18"/>
        <v/>
      </c>
      <c r="J77" s="97" t="str">
        <f t="shared" ref="J77:J79" si="19">if(and(F77=true,D77&gt;0),G77,"")</f>
        <v/>
      </c>
    </row>
    <row r="78" ht="18.75" customHeight="1">
      <c r="A78" s="106"/>
      <c r="B78" s="101">
        <v>3.0</v>
      </c>
      <c r="C78" s="123" t="s">
        <v>83</v>
      </c>
      <c r="D78" s="54"/>
      <c r="E78" s="54" t="b">
        <v>0</v>
      </c>
      <c r="F78" s="124" t="b">
        <v>0</v>
      </c>
      <c r="G78" s="118" t="str">
        <f t="shared" si="16"/>
        <v/>
      </c>
      <c r="H78" s="118" t="str">
        <f t="shared" si="17"/>
        <v/>
      </c>
      <c r="I78" s="105" t="str">
        <f t="shared" si="18"/>
        <v/>
      </c>
      <c r="J78" s="97" t="str">
        <f t="shared" si="19"/>
        <v/>
      </c>
    </row>
    <row r="79" ht="18.75" customHeight="1">
      <c r="A79" s="106"/>
      <c r="B79" s="101">
        <v>4.0</v>
      </c>
      <c r="C79" s="125" t="s">
        <v>83</v>
      </c>
      <c r="D79" s="126"/>
      <c r="E79" s="126" t="b">
        <v>0</v>
      </c>
      <c r="F79" s="127" t="b">
        <v>0</v>
      </c>
      <c r="G79" s="121" t="str">
        <f t="shared" si="16"/>
        <v/>
      </c>
      <c r="H79" s="121" t="str">
        <f t="shared" si="17"/>
        <v/>
      </c>
      <c r="I79" s="105" t="str">
        <f t="shared" si="18"/>
        <v/>
      </c>
      <c r="J79" s="97" t="str">
        <f t="shared" si="19"/>
        <v/>
      </c>
    </row>
    <row r="80" ht="18.75" customHeight="1">
      <c r="A80" s="106"/>
      <c r="B80" s="99"/>
      <c r="C80" s="79" t="s">
        <v>110</v>
      </c>
      <c r="D80" s="106"/>
      <c r="E80" s="113"/>
      <c r="F80" s="114"/>
      <c r="G80" s="121">
        <f t="shared" ref="G80:J80" si="20">1+sum(G76:G79)</f>
        <v>1</v>
      </c>
      <c r="H80" s="121">
        <f t="shared" si="20"/>
        <v>1</v>
      </c>
      <c r="I80" s="115">
        <f t="shared" si="20"/>
        <v>1</v>
      </c>
      <c r="J80" s="101">
        <f t="shared" si="20"/>
        <v>1</v>
      </c>
    </row>
    <row r="81" ht="7.5" customHeight="1">
      <c r="A81" s="54"/>
      <c r="Q81" s="54"/>
    </row>
    <row r="82" ht="18.75" customHeight="1">
      <c r="B82" s="130" t="s">
        <v>125</v>
      </c>
      <c r="C82" s="131"/>
      <c r="D82" s="131"/>
      <c r="E82" s="32"/>
      <c r="H82" s="97" t="s">
        <v>126</v>
      </c>
      <c r="I82" s="97" t="s">
        <v>127</v>
      </c>
      <c r="J82" s="97" t="s">
        <v>128</v>
      </c>
      <c r="K82" s="97" t="s">
        <v>129</v>
      </c>
      <c r="L82" s="97" t="s">
        <v>130</v>
      </c>
      <c r="M82" s="97" t="s">
        <v>131</v>
      </c>
      <c r="N82" s="100"/>
      <c r="O82" s="97" t="s">
        <v>132</v>
      </c>
      <c r="P82" s="97" t="s">
        <v>133</v>
      </c>
      <c r="Q82" s="97"/>
    </row>
    <row r="83" ht="18.75" customHeight="1">
      <c r="B83" s="136">
        <v>1.0</v>
      </c>
      <c r="C83" s="137" t="s">
        <v>185</v>
      </c>
      <c r="E83" s="42"/>
      <c r="H83" s="105"/>
      <c r="I83" s="139">
        <f>1+(H30)%</f>
        <v>1.06</v>
      </c>
      <c r="J83" s="139">
        <f>1+(H15+H18+H21+H27)%</f>
        <v>2.504</v>
      </c>
      <c r="K83" s="139">
        <f>1+( (H6-10)+H33+H34+H35+H39+H47+H48+H49+H55)%</f>
        <v>5.03</v>
      </c>
      <c r="L83" s="139">
        <f>( (H6-5)+H12+H24)%</f>
        <v>1.01</v>
      </c>
      <c r="M83" s="139">
        <f>1+(H3+H9)%</f>
        <v>2.605</v>
      </c>
      <c r="N83" s="139"/>
      <c r="O83" s="140">
        <f>I83*J83*K83</f>
        <v>13.3508272</v>
      </c>
      <c r="P83" s="140">
        <f>I83*J83*(K83+L83)*M83</f>
        <v>41.76234301</v>
      </c>
      <c r="Q83" s="226"/>
    </row>
    <row r="84" ht="18.75" customHeight="1">
      <c r="B84" s="143"/>
      <c r="C84" s="137" t="s">
        <v>135</v>
      </c>
      <c r="D84" s="227">
        <v>5.638445444717863E7</v>
      </c>
      <c r="E84" s="145"/>
      <c r="H84" s="97" t="s">
        <v>136</v>
      </c>
      <c r="I84" s="97" t="s">
        <v>127</v>
      </c>
      <c r="J84" s="97" t="s">
        <v>137</v>
      </c>
      <c r="K84" s="97" t="s">
        <v>25</v>
      </c>
      <c r="L84" s="97"/>
      <c r="M84" s="97"/>
      <c r="N84" s="100"/>
      <c r="O84" s="97" t="s">
        <v>132</v>
      </c>
      <c r="P84" s="97" t="s">
        <v>133</v>
      </c>
      <c r="Q84" s="97" t="s">
        <v>138</v>
      </c>
    </row>
    <row r="85" ht="18.75" customHeight="1">
      <c r="B85" s="136">
        <v>2.0</v>
      </c>
      <c r="C85" s="137" t="s">
        <v>139</v>
      </c>
      <c r="E85" s="42"/>
      <c r="H85" s="139"/>
      <c r="I85" s="139">
        <f>1.75+(G18+G27+G47+G48+G55)%</f>
        <v>9.935</v>
      </c>
      <c r="J85" s="139">
        <f>(G12+G24)%</f>
        <v>0.81</v>
      </c>
      <c r="K85" s="139">
        <f>(Q48)%</f>
        <v>0</v>
      </c>
      <c r="L85" s="139"/>
      <c r="M85" s="139"/>
      <c r="N85" s="139"/>
      <c r="O85" s="140">
        <f>I85+K85</f>
        <v>9.935</v>
      </c>
      <c r="P85" s="140">
        <f>I85+J85</f>
        <v>10.745</v>
      </c>
      <c r="Q85" s="140">
        <f>I85+J85+K85</f>
        <v>10.745</v>
      </c>
    </row>
    <row r="86" ht="18.75" customHeight="1">
      <c r="B86" s="143"/>
      <c r="C86" s="150" t="s">
        <v>140</v>
      </c>
      <c r="D86" s="151" t="str">
        <f>if(or((D84/P94/P83-C43)/C44/2&lt;800,(D84/P94/P83-C43)/C44/2&gt;1200), "입력에 오류가 있습니다", (D84/P94/P83-C43)/C44/2)</f>
        <v>입력에 오류가 있습니다</v>
      </c>
      <c r="E86" s="145"/>
      <c r="H86" s="97" t="s">
        <v>141</v>
      </c>
      <c r="I86" s="97" t="s">
        <v>142</v>
      </c>
      <c r="J86" s="97" t="s">
        <v>5</v>
      </c>
      <c r="K86" s="97" t="s">
        <v>0</v>
      </c>
      <c r="L86" s="97"/>
      <c r="M86" s="97"/>
      <c r="N86" s="100"/>
      <c r="O86" s="97"/>
      <c r="P86" s="97"/>
      <c r="Q86" s="97"/>
    </row>
    <row r="87" ht="18.75" customHeight="1">
      <c r="B87" s="136">
        <v>3.0</v>
      </c>
      <c r="C87" s="137" t="s">
        <v>143</v>
      </c>
      <c r="E87" s="42"/>
      <c r="I87" s="155">
        <f>F52+F38</f>
        <v>4</v>
      </c>
      <c r="J87" s="155">
        <f>F6+F18+F27+F34+F37+F39</f>
        <v>50</v>
      </c>
      <c r="K87" s="155">
        <f>F47+F48</f>
        <v>64</v>
      </c>
      <c r="L87" s="139"/>
      <c r="M87" s="139"/>
      <c r="N87" s="139"/>
      <c r="O87" s="156"/>
      <c r="P87" s="157">
        <f>if(
I87+J87+if(K87&gt;50,50,K87) &gt;100,
100,
I87+J87+if(K87&gt;50,50,K87)
)</f>
        <v>100</v>
      </c>
      <c r="Q87" s="156"/>
    </row>
    <row r="88" ht="18.75" customHeight="1">
      <c r="B88" s="159"/>
      <c r="C88" s="160" t="s">
        <v>135</v>
      </c>
      <c r="D88" s="161">
        <v>924.04</v>
      </c>
      <c r="E88" s="145"/>
      <c r="H88" s="97" t="s">
        <v>10</v>
      </c>
      <c r="I88" s="97" t="s">
        <v>84</v>
      </c>
      <c r="J88" s="97" t="s">
        <v>5</v>
      </c>
      <c r="K88" s="97" t="s">
        <v>0</v>
      </c>
      <c r="L88" s="97"/>
      <c r="M88" s="97"/>
      <c r="N88" s="100"/>
      <c r="O88" s="97" t="s">
        <v>6</v>
      </c>
      <c r="P88" s="97" t="s">
        <v>145</v>
      </c>
      <c r="Q88" s="97" t="s">
        <v>146</v>
      </c>
    </row>
    <row r="89" ht="18.75" customHeight="1">
      <c r="I89" s="155" t="str">
        <f>E40</f>
        <v/>
      </c>
      <c r="J89" s="155">
        <f>E6+E27+E36+E39</f>
        <v>57</v>
      </c>
      <c r="K89" s="155">
        <f>E47+E48</f>
        <v>32</v>
      </c>
      <c r="L89" s="139"/>
      <c r="M89" s="139"/>
      <c r="N89" s="139"/>
      <c r="O89" s="162">
        <f>C44 * (1-J89%-K89%) / (1 + I89% + E45)</f>
        <v>0.05330396476</v>
      </c>
      <c r="P89" s="163">
        <f>ifs(
O89&lt;0.25, 0.25,
true, O89
)
</f>
        <v>0.25</v>
      </c>
      <c r="Q89" s="140">
        <f>ifs(
C45&gt;0, P89,
P89&lt;0.5, 0.5,
true, P89
)
</f>
        <v>0.25</v>
      </c>
    </row>
    <row r="90" ht="18.75" customHeight="1">
      <c r="B90" s="164"/>
      <c r="C90" s="165" t="s">
        <v>133</v>
      </c>
      <c r="D90" s="165" t="s">
        <v>132</v>
      </c>
      <c r="E90" s="167"/>
      <c r="H90" s="97" t="s">
        <v>148</v>
      </c>
      <c r="I90" s="97" t="s">
        <v>127</v>
      </c>
      <c r="J90" s="97" t="s">
        <v>137</v>
      </c>
      <c r="K90" s="97"/>
      <c r="L90" s="97"/>
      <c r="M90" s="97"/>
      <c r="N90" s="100"/>
      <c r="O90" s="97" t="s">
        <v>132</v>
      </c>
      <c r="P90" s="97" t="s">
        <v>133</v>
      </c>
      <c r="Q90" s="97"/>
    </row>
    <row r="91" ht="18.75" customHeight="1">
      <c r="A91" s="29"/>
      <c r="B91" s="168" t="s">
        <v>14</v>
      </c>
      <c r="C91" s="170">
        <f>(C43+2*D88*C44)*P83*P94</f>
        <v>80195006.82</v>
      </c>
      <c r="D91" s="170">
        <f>(C43+2*D88*C44)*O83*O94</f>
        <v>25637203.31</v>
      </c>
      <c r="E91" s="171"/>
      <c r="H91" s="139"/>
      <c r="I91" s="155">
        <f>D15+D21+D27+D33+D34+D39+D47+D48</f>
        <v>274</v>
      </c>
      <c r="J91" s="155">
        <f>D12</f>
        <v>50</v>
      </c>
      <c r="K91" s="155"/>
      <c r="L91" s="155"/>
      <c r="M91" s="155"/>
      <c r="N91" s="155"/>
      <c r="O91" s="172">
        <f>I91</f>
        <v>274</v>
      </c>
      <c r="P91" s="172">
        <f>I91+J91</f>
        <v>324</v>
      </c>
      <c r="Q91" s="156"/>
    </row>
    <row r="92" ht="18.75" customHeight="1">
      <c r="A92" s="29"/>
      <c r="B92" s="173" t="s">
        <v>149</v>
      </c>
      <c r="C92" s="175">
        <f>C91/P89</f>
        <v>320780027.3</v>
      </c>
      <c r="D92" s="175">
        <f>D91/P89</f>
        <v>102548813.2</v>
      </c>
      <c r="E92" s="176"/>
      <c r="H92" s="97" t="s">
        <v>150</v>
      </c>
      <c r="I92" s="97" t="s">
        <v>127</v>
      </c>
      <c r="J92" s="97" t="s">
        <v>137</v>
      </c>
      <c r="K92" s="97" t="s">
        <v>128</v>
      </c>
      <c r="L92" s="97" t="s">
        <v>129</v>
      </c>
      <c r="M92" s="97" t="s">
        <v>131</v>
      </c>
      <c r="N92" s="99"/>
      <c r="O92" s="97" t="s">
        <v>132</v>
      </c>
      <c r="P92" s="97" t="s">
        <v>133</v>
      </c>
      <c r="Q92" s="99"/>
    </row>
    <row r="93" ht="18.75" customHeight="1">
      <c r="H93" s="105" t="s">
        <v>151</v>
      </c>
      <c r="I93" s="54">
        <f>G61</f>
        <v>1</v>
      </c>
      <c r="J93" s="54">
        <f>I61</f>
        <v>1</v>
      </c>
      <c r="K93" s="54">
        <f>I67</f>
        <v>1</v>
      </c>
      <c r="L93" s="54">
        <f>I73</f>
        <v>1</v>
      </c>
      <c r="M93" s="54">
        <f>I80</f>
        <v>1</v>
      </c>
      <c r="N93" s="54"/>
      <c r="O93" s="178">
        <f t="shared" ref="O93:O94" si="21">I93*K93*L93*M93</f>
        <v>1</v>
      </c>
      <c r="P93" s="178">
        <f t="shared" ref="P93:P94" si="22">J93*K93*L93*M93</f>
        <v>1</v>
      </c>
      <c r="Q93" s="233"/>
    </row>
    <row r="94" ht="18.75" customHeight="1">
      <c r="B94" s="164"/>
      <c r="C94" s="234"/>
      <c r="D94" s="234"/>
      <c r="E94" s="235"/>
      <c r="H94" s="105" t="s">
        <v>14</v>
      </c>
      <c r="I94" s="54">
        <f>H61</f>
        <v>1</v>
      </c>
      <c r="J94" s="54">
        <f>J61</f>
        <v>1</v>
      </c>
      <c r="K94" s="54">
        <f>J67</f>
        <v>1</v>
      </c>
      <c r="L94" s="54">
        <f>J73</f>
        <v>1</v>
      </c>
      <c r="M94" s="54">
        <f>J80</f>
        <v>1</v>
      </c>
      <c r="N94" s="54"/>
      <c r="O94" s="178">
        <f t="shared" si="21"/>
        <v>1</v>
      </c>
      <c r="P94" s="178">
        <f t="shared" si="22"/>
        <v>1</v>
      </c>
      <c r="Q94" s="233"/>
    </row>
    <row r="95" ht="18.75" customHeight="1">
      <c r="B95" s="236"/>
      <c r="D95" s="54"/>
      <c r="E95" s="237"/>
      <c r="F95" s="54"/>
      <c r="G95" s="54"/>
      <c r="H95" s="97" t="s">
        <v>153</v>
      </c>
      <c r="I95" s="97" t="s">
        <v>16</v>
      </c>
      <c r="J95" s="97" t="s">
        <v>18</v>
      </c>
      <c r="K95" s="97" t="s">
        <v>19</v>
      </c>
      <c r="L95" s="97" t="s">
        <v>20</v>
      </c>
      <c r="M95" s="97" t="s">
        <v>21</v>
      </c>
      <c r="N95" s="97" t="s">
        <v>63</v>
      </c>
      <c r="O95" s="97"/>
      <c r="P95" s="97"/>
      <c r="Q95" s="99"/>
    </row>
    <row r="96" ht="18.75" customHeight="1">
      <c r="B96" s="236"/>
      <c r="D96" s="54"/>
      <c r="E96" s="237"/>
      <c r="F96" s="54"/>
      <c r="G96" s="54"/>
      <c r="H96" s="105" t="s">
        <v>154</v>
      </c>
      <c r="I96" s="187">
        <f>1+(I3+I18+I47+I48+N27)%</f>
        <v>2.21</v>
      </c>
      <c r="J96" s="187">
        <f t="shared" ref="J96:M96" si="23">1+(J18+J47+J48+$N$27)%</f>
        <v>4.63</v>
      </c>
      <c r="K96" s="187">
        <f t="shared" si="23"/>
        <v>1.45</v>
      </c>
      <c r="L96" s="187">
        <f t="shared" si="23"/>
        <v>1.45</v>
      </c>
      <c r="M96" s="187">
        <f t="shared" si="23"/>
        <v>1.45</v>
      </c>
      <c r="N96" s="187">
        <f>J96</f>
        <v>4.63</v>
      </c>
      <c r="O96" s="187"/>
      <c r="P96" s="187"/>
      <c r="Q96" s="187"/>
    </row>
    <row r="97" ht="18.75" customHeight="1">
      <c r="B97" s="238"/>
      <c r="C97" s="239"/>
      <c r="D97" s="240"/>
      <c r="E97" s="241"/>
      <c r="F97" s="54"/>
      <c r="G97" s="54"/>
      <c r="H97" s="242" t="s">
        <v>156</v>
      </c>
      <c r="I97" s="187">
        <f>I96*(1+(O46+O48)%)</f>
        <v>3.094</v>
      </c>
      <c r="J97" s="187">
        <f t="shared" ref="J97:M97" si="24">J96*(1+($O$46+$O$48)%)</f>
        <v>6.482</v>
      </c>
      <c r="K97" s="187">
        <f t="shared" si="24"/>
        <v>2.03</v>
      </c>
      <c r="L97" s="187">
        <f t="shared" si="24"/>
        <v>2.03</v>
      </c>
      <c r="M97" s="187">
        <f t="shared" si="24"/>
        <v>2.03</v>
      </c>
      <c r="N97" s="187">
        <f>N96*(1+Q48%)</f>
        <v>4.63</v>
      </c>
      <c r="O97" s="187"/>
      <c r="P97" s="187"/>
      <c r="Q97" s="187"/>
    </row>
    <row r="98" ht="7.5" customHeight="1"/>
    <row r="99" ht="18.75" customHeight="1">
      <c r="A99" s="195" t="s">
        <v>158</v>
      </c>
      <c r="C99" s="195" t="s">
        <v>151</v>
      </c>
    </row>
    <row r="100" ht="18.75" customHeight="1">
      <c r="A100" s="196" t="b">
        <v>1</v>
      </c>
      <c r="B100" s="31" t="s">
        <v>128</v>
      </c>
      <c r="C100" s="137" t="s">
        <v>186</v>
      </c>
      <c r="D100" s="105" t="s">
        <v>132</v>
      </c>
      <c r="F100" s="105" t="s">
        <v>16</v>
      </c>
      <c r="H100" s="105" t="s">
        <v>18</v>
      </c>
      <c r="J100" s="105" t="s">
        <v>19</v>
      </c>
      <c r="L100" s="105" t="s">
        <v>20</v>
      </c>
      <c r="N100" s="105" t="s">
        <v>21</v>
      </c>
      <c r="P100" s="54"/>
      <c r="Q100" s="54"/>
    </row>
    <row r="101" ht="18.75" customHeight="1">
      <c r="A101" s="198" t="b">
        <v>0</v>
      </c>
      <c r="B101" s="31" t="s">
        <v>160</v>
      </c>
      <c r="C101" s="137" t="s">
        <v>161</v>
      </c>
      <c r="D101" s="199">
        <f>D91*O85*O93/O94*N97
/
ifs(
A100=true,1000000000,
A101=true,1000000,
A102=true,1000,
true,1
)</f>
        <v>1.179286997</v>
      </c>
      <c r="F101" s="199">
        <f>$C$91*$P$85*$P$93/$P$94*I97
/
ifs(
A100=true,1000000000,
A101=true,1000000,
A102=true,1000,
true,1
)</f>
        <v>2.666085407</v>
      </c>
      <c r="H101" s="199">
        <f>C91*Q85*P93/P94*J97
/
ifs(
A100=true,1000000000,
A101=true,1000000,
A102=true,1000,
true,1
)</f>
        <v>5.585509247</v>
      </c>
      <c r="J101" s="199">
        <f>$C$91*$P$85*$P$93/$P$94*K97
/
ifs(
A100=true,1000000000,
A101=true,1000000,
A102=true,1000,
true,1
)</f>
        <v>1.749241557</v>
      </c>
      <c r="L101" s="199">
        <f>$C$91*$P$85*$P$93/$P$94*L97
/
ifs(
A100=true,1000000000,
A101=true,1000000,
A102=true,1000,
true,1
)</f>
        <v>1.749241557</v>
      </c>
      <c r="N101" s="199">
        <f>$C$91*$P$85*$P$93/$P$94*M97
/
ifs(
A100=true,1000000000,
A101=true,1000000,
A102=true,1000,
true,1
)</f>
        <v>1.749241557</v>
      </c>
      <c r="P101" s="243"/>
      <c r="Q101" s="243"/>
    </row>
    <row r="102" ht="18.75" customHeight="1">
      <c r="A102" s="200" t="b">
        <v>0</v>
      </c>
      <c r="B102" s="31" t="s">
        <v>162</v>
      </c>
      <c r="C102" s="137" t="s">
        <v>163</v>
      </c>
      <c r="D102" s="199">
        <f>D91*O93/O94*N97
/
ifs(
A100=true,1000000000,
A101=true,1000000,
A102=true,1000,
true,1
)</f>
        <v>0.1187002513</v>
      </c>
      <c r="F102" s="199">
        <f>$C$91*$P$93/$P$94*I97
/
ifs(
A100=true,1000000000,
A101=true,1000000,
A102=true,1000,
true,1
)</f>
        <v>0.2481233511</v>
      </c>
      <c r="H102" s="199">
        <f>$C$91*$P$93/$P$94*J97
/
ifs(
A100=true,1000000000,
A101=true,1000000,
A102=true,1000,
true,1
)</f>
        <v>0.5198240342</v>
      </c>
      <c r="J102" s="199">
        <f>$C$91*$P$93/$P$94*K97
/
ifs(
A100=true,1000000000,
A101=true,1000000,
A102=true,1000,
true,1
)</f>
        <v>0.1627958638</v>
      </c>
      <c r="L102" s="199">
        <f>$C$91*$P$93/$P$94*L97
/
ifs(
A100=true,1000000000,
A101=true,1000000,
A102=true,1000,
true,1
)</f>
        <v>0.1627958638</v>
      </c>
      <c r="N102" s="199">
        <f>$C$91*$P$93/$P$94*M97
/
ifs(
A100=true,1000000000,
A101=true,1000000,
A102=true,1000,
true,1
)</f>
        <v>0.1627958638</v>
      </c>
      <c r="P102" s="243"/>
      <c r="Q102" s="243"/>
    </row>
    <row r="103" ht="18.75" customHeight="1">
      <c r="A103" s="57"/>
      <c r="C103" s="137" t="s">
        <v>164</v>
      </c>
      <c r="D103" s="199">
        <f>D92*(1+P87%*O85)*O93/O94*N97
/
ifs(
A100=true,1000000000,
A101=true,1000000,
A102=true,1000,
true,1
)</f>
        <v>5.191948992</v>
      </c>
      <c r="F103" s="199">
        <f>$D$92*(1+$P$87%*$P$85)*$P$93/$P$94*I97
/
ifs(
A100=true,1000000000,
A101=true,1000000,
A102=true,1000,
true,1
)</f>
        <v>3.7265244</v>
      </c>
      <c r="H103" s="199">
        <f>$D$92*(1+$P$87%*Q85)*$P$93/$P$94*J97
/
ifs(
A100=true,1000000000,
A101=true,1000000,
A102=true,1000,
true,1
)</f>
        <v>7.807152929</v>
      </c>
      <c r="J103" s="199">
        <f>$D$92*(1+$P$87%*$P$85)*$P$93/$P$94*K97
/
ifs(
A100=true,1000000000,
A101=true,1000000,
A102=true,1000,
true,1
)</f>
        <v>2.445004697</v>
      </c>
      <c r="L103" s="199">
        <f>$D$92*(1+$P$87%*$P$85)*$P$93/$P$94*L97
/
ifs(
A100=true,1000000000,
A101=true,1000000,
A102=true,1000,
true,1
)</f>
        <v>2.445004697</v>
      </c>
      <c r="N103" s="199">
        <f>$D$92*(1+$P$87%*$P$85)*$P$93/$P$94*M97
/
ifs(
A100=true,1000000000,
A101=true,1000000,
A102=true,1000,
true,1
)</f>
        <v>2.445004697</v>
      </c>
      <c r="P103" s="243"/>
      <c r="Q103" s="243"/>
    </row>
  </sheetData>
  <mergeCells count="90">
    <mergeCell ref="A56:P56"/>
    <mergeCell ref="G57:H57"/>
    <mergeCell ref="I57:J57"/>
    <mergeCell ref="K58:Q61"/>
    <mergeCell ref="A62:P62"/>
    <mergeCell ref="G63:H63"/>
    <mergeCell ref="I63:J63"/>
    <mergeCell ref="K64:Q67"/>
    <mergeCell ref="A68:P68"/>
    <mergeCell ref="G69:H69"/>
    <mergeCell ref="I69:J69"/>
    <mergeCell ref="A74:P74"/>
    <mergeCell ref="G75:H75"/>
    <mergeCell ref="I75:J75"/>
    <mergeCell ref="A81:P81"/>
    <mergeCell ref="B82:E82"/>
    <mergeCell ref="C83:E83"/>
    <mergeCell ref="D84:E84"/>
    <mergeCell ref="C85:E85"/>
    <mergeCell ref="D86:E86"/>
    <mergeCell ref="B85:B86"/>
    <mergeCell ref="B87:B88"/>
    <mergeCell ref="C87:E87"/>
    <mergeCell ref="D88:E88"/>
    <mergeCell ref="D90:E90"/>
    <mergeCell ref="D91:E91"/>
    <mergeCell ref="D92:E92"/>
    <mergeCell ref="L100:M100"/>
    <mergeCell ref="N100:O100"/>
    <mergeCell ref="A98:Q98"/>
    <mergeCell ref="A99:B99"/>
    <mergeCell ref="C99:Q99"/>
    <mergeCell ref="D100:E100"/>
    <mergeCell ref="F100:G100"/>
    <mergeCell ref="H100:I100"/>
    <mergeCell ref="J100:K100"/>
    <mergeCell ref="J102:K102"/>
    <mergeCell ref="L102:M102"/>
    <mergeCell ref="D101:E101"/>
    <mergeCell ref="F101:G101"/>
    <mergeCell ref="H101:I101"/>
    <mergeCell ref="J101:K101"/>
    <mergeCell ref="L101:M101"/>
    <mergeCell ref="N101:O101"/>
    <mergeCell ref="D102:E102"/>
    <mergeCell ref="N102:O102"/>
    <mergeCell ref="B1:C1"/>
    <mergeCell ref="B2:C2"/>
    <mergeCell ref="A4:P4"/>
    <mergeCell ref="B5:C5"/>
    <mergeCell ref="A7:P7"/>
    <mergeCell ref="B8:C8"/>
    <mergeCell ref="A10:P10"/>
    <mergeCell ref="B20:C21"/>
    <mergeCell ref="B23:C24"/>
    <mergeCell ref="B26:C27"/>
    <mergeCell ref="B29:C29"/>
    <mergeCell ref="B32:C32"/>
    <mergeCell ref="B11:C12"/>
    <mergeCell ref="A13:P13"/>
    <mergeCell ref="B14:C15"/>
    <mergeCell ref="A16:P16"/>
    <mergeCell ref="B17:C18"/>
    <mergeCell ref="A19:P19"/>
    <mergeCell ref="A22:P22"/>
    <mergeCell ref="A25:P25"/>
    <mergeCell ref="A28:P28"/>
    <mergeCell ref="A31:P31"/>
    <mergeCell ref="A41:P41"/>
    <mergeCell ref="B42:C42"/>
    <mergeCell ref="A50:P50"/>
    <mergeCell ref="A53:P53"/>
    <mergeCell ref="K70:Q73"/>
    <mergeCell ref="K76:Q80"/>
    <mergeCell ref="B51:C51"/>
    <mergeCell ref="B54:C54"/>
    <mergeCell ref="B57:C57"/>
    <mergeCell ref="B63:C63"/>
    <mergeCell ref="B69:C69"/>
    <mergeCell ref="B75:C75"/>
    <mergeCell ref="B83:B84"/>
    <mergeCell ref="L103:M103"/>
    <mergeCell ref="N103:O103"/>
    <mergeCell ref="F102:G102"/>
    <mergeCell ref="H102:I102"/>
    <mergeCell ref="A103:B103"/>
    <mergeCell ref="D103:E103"/>
    <mergeCell ref="F103:G103"/>
    <mergeCell ref="H103:I103"/>
    <mergeCell ref="J103:K103"/>
  </mergeCells>
  <conditionalFormatting sqref="C3 C9 F18:M18 D12 G12:H12 H15 D15 D21 H21 G24:H24 D27:H27 N27 H30 C30 C33:C38 D39:F39 H39 C40 C43:C46 D47:M48 O48:Q48 C52 G55:H55">
    <cfRule type="containsBlanks" dxfId="0" priority="1">
      <formula>LEN(TRIM(C3))=0</formula>
    </cfRule>
  </conditionalFormatting>
  <dataValidations>
    <dataValidation type="list" allowBlank="1" showErrorMessage="1" sqref="C52">
      <formula1>"버서커,팔라딘,레인저,소서러,다크나이트"</formula1>
    </dataValidation>
    <dataValidation type="list" allowBlank="1" showErrorMessage="1" sqref="C33">
      <formula1>"U+,U,L+,L,H+"</formula1>
    </dataValidation>
    <dataValidation type="list" allowBlank="1" showErrorMessage="1" sqref="C46">
      <formula1>"정의2,정의4,정의6,기타"</formula1>
    </dataValidation>
    <dataValidation type="list" allowBlank="1" showErrorMessage="1" sqref="C3">
      <formula1>"1~3,4~10,11~20,순위없음"</formula1>
    </dataValidation>
    <dataValidation type="list" allowBlank="1" showErrorMessage="1" sqref="C36">
      <formula1>"공격속도:보라,공격속도:주황,공격속도:파랑"</formula1>
    </dataValidation>
    <dataValidation type="list" allowBlank="1" showErrorMessage="1" sqref="C40">
      <formula1>"퀴큰 0,퀴큰 1,퀴큰 2,퀴큰 3,퀴큰 4,퀴큰 5"</formula1>
    </dataValidation>
    <dataValidation type="custom" allowBlank="1" showDropDown="1" showInputMessage="1" showErrorMessage="1" prompt="125 이상의 정수 입력" sqref="C9">
      <formula1>and(C9&gt;124, mod(C9,1)=0)</formula1>
    </dataValidation>
    <dataValidation type="list" allowBlank="1" showErrorMessage="1" sqref="C45">
      <formula1>"0,1,2,3,4,5,6,7,8,9,10,11,12,13"</formula1>
    </dataValidation>
    <dataValidation type="list" allowBlank="1" showErrorMessage="1" sqref="C34">
      <formula1>"영웅심리,날쌘돌이,힘이쎈,샤프한,달리기가빠른,기타"</formula1>
    </dataValidation>
    <dataValidation type="list" allowBlank="1" showErrorMessage="1" sqref="C37">
      <formula1>"치확:보라,치확:주황,치확:파랑"</formula1>
    </dataValidation>
    <dataValidation type="list" allowBlank="1" showErrorMessage="1" sqref="C38">
      <formula1>"태생치확 +0,태생치확 +1"</formula1>
    </dataValidation>
    <dataValidation type="list" allowBlank="1" showErrorMessage="1" sqref="C30">
      <formula1>"공2,공4,공6"</formula1>
    </dataValidation>
    <dataValidation type="list" allowBlank="1" showErrorMessage="1" sqref="C35">
      <formula1>"공격력:보라,공격력:주황,공격력:파랑"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.25"/>
    <col customWidth="1" min="3" max="5" width="5.13"/>
    <col customWidth="1" min="6" max="17" width="5.63"/>
    <col customWidth="1" hidden="1" min="18" max="30" width="2.13"/>
  </cols>
  <sheetData>
    <row r="1">
      <c r="A1" s="203"/>
      <c r="B1" s="204" t="s">
        <v>171</v>
      </c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6"/>
      <c r="R1" s="207"/>
      <c r="S1" s="208" t="s">
        <v>172</v>
      </c>
    </row>
    <row r="2">
      <c r="A2" s="203"/>
      <c r="B2" s="209" t="s">
        <v>173</v>
      </c>
      <c r="C2" s="210">
        <v>10.0</v>
      </c>
      <c r="D2" s="210">
        <v>100.0</v>
      </c>
      <c r="E2" s="211">
        <v>1000.0</v>
      </c>
      <c r="F2" s="212"/>
      <c r="G2" s="212"/>
      <c r="H2" s="212"/>
      <c r="I2" s="212"/>
      <c r="J2" s="212"/>
      <c r="K2" s="212"/>
      <c r="L2" s="212"/>
      <c r="M2" s="212"/>
      <c r="N2" s="209" t="s">
        <v>158</v>
      </c>
      <c r="O2" s="210" t="s">
        <v>174</v>
      </c>
      <c r="P2" s="210" t="s">
        <v>175</v>
      </c>
      <c r="Q2" s="211" t="s">
        <v>176</v>
      </c>
      <c r="R2" s="207"/>
    </row>
    <row r="3">
      <c r="A3" s="203"/>
      <c r="B3" s="213"/>
      <c r="C3" s="214" t="b">
        <v>1</v>
      </c>
      <c r="D3" s="214" t="b">
        <v>0</v>
      </c>
      <c r="E3" s="215" t="b">
        <v>0</v>
      </c>
      <c r="F3" s="212"/>
      <c r="G3" s="212"/>
      <c r="H3" s="212"/>
      <c r="I3" s="212"/>
      <c r="J3" s="212"/>
      <c r="K3" s="212"/>
      <c r="L3" s="212"/>
      <c r="M3" s="212"/>
      <c r="N3" s="213"/>
      <c r="O3" s="216" t="b">
        <v>0</v>
      </c>
      <c r="P3" s="214" t="b">
        <v>1</v>
      </c>
      <c r="Q3" s="215" t="b">
        <v>0</v>
      </c>
      <c r="R3" s="207"/>
    </row>
    <row r="4">
      <c r="A4" s="203"/>
      <c r="B4" s="217" t="s">
        <v>177</v>
      </c>
      <c r="F4" s="218">
        <v>113.0</v>
      </c>
      <c r="G4" s="218">
        <v>110.0</v>
      </c>
      <c r="H4" s="218">
        <v>106.0</v>
      </c>
      <c r="I4" s="218">
        <v>105.0</v>
      </c>
      <c r="J4" s="218">
        <v>103.0</v>
      </c>
      <c r="K4" s="218">
        <v>100.0</v>
      </c>
      <c r="L4" s="218">
        <v>99.0</v>
      </c>
      <c r="M4" s="218">
        <v>98.0</v>
      </c>
      <c r="N4" s="218">
        <v>95.0</v>
      </c>
      <c r="O4" s="218">
        <v>92.0</v>
      </c>
      <c r="P4" s="218">
        <v>91.0</v>
      </c>
      <c r="Q4" s="219">
        <v>90.0</v>
      </c>
      <c r="R4" s="207"/>
    </row>
    <row r="5">
      <c r="A5" s="203" t="b">
        <v>0</v>
      </c>
      <c r="B5" s="220">
        <v>1.0</v>
      </c>
      <c r="C5" s="221">
        <v>3.9004768E7</v>
      </c>
      <c r="D5" s="222"/>
      <c r="E5" s="145"/>
      <c r="F5" s="223">
        <f t="shared" ref="F5:Q5" si="1">if($C5="","",
int($C5/F$4/ ifs($E$3=true,$E$2,$D$3=true,$D$2,$C$3=true,$C$2,true,1)))</f>
        <v>34517</v>
      </c>
      <c r="G5" s="223">
        <f t="shared" si="1"/>
        <v>35458</v>
      </c>
      <c r="H5" s="223">
        <f t="shared" si="1"/>
        <v>36796</v>
      </c>
      <c r="I5" s="223">
        <f t="shared" si="1"/>
        <v>37147</v>
      </c>
      <c r="J5" s="223">
        <f t="shared" si="1"/>
        <v>37868</v>
      </c>
      <c r="K5" s="223">
        <f t="shared" si="1"/>
        <v>39004</v>
      </c>
      <c r="L5" s="223">
        <f t="shared" si="1"/>
        <v>39398</v>
      </c>
      <c r="M5" s="223">
        <f t="shared" si="1"/>
        <v>39800</v>
      </c>
      <c r="N5" s="223">
        <f t="shared" si="1"/>
        <v>41057</v>
      </c>
      <c r="O5" s="223">
        <f t="shared" si="1"/>
        <v>42396</v>
      </c>
      <c r="P5" s="223">
        <f t="shared" si="1"/>
        <v>42862</v>
      </c>
      <c r="Q5" s="223">
        <f t="shared" si="1"/>
        <v>43338</v>
      </c>
      <c r="R5" s="207"/>
      <c r="S5" s="223" t="str">
        <f t="shared" ref="S5:AD5" si="2">if(OR($C5="",countifs($F$5:$Q$24,F5)&lt;2),"",rank(F5,$F$5:$Q$24,false))</f>
        <v/>
      </c>
      <c r="T5" s="223" t="str">
        <f t="shared" si="2"/>
        <v/>
      </c>
      <c r="U5" s="223" t="str">
        <f t="shared" si="2"/>
        <v/>
      </c>
      <c r="V5" s="223" t="str">
        <f t="shared" si="2"/>
        <v/>
      </c>
      <c r="W5" s="223" t="str">
        <f t="shared" si="2"/>
        <v/>
      </c>
      <c r="X5" s="223" t="str">
        <f t="shared" si="2"/>
        <v/>
      </c>
      <c r="Y5" s="223" t="str">
        <f t="shared" si="2"/>
        <v/>
      </c>
      <c r="Z5" s="223" t="str">
        <f t="shared" si="2"/>
        <v/>
      </c>
      <c r="AA5" s="223" t="str">
        <f t="shared" si="2"/>
        <v/>
      </c>
      <c r="AB5" s="223" t="str">
        <f t="shared" si="2"/>
        <v/>
      </c>
      <c r="AC5" s="223" t="str">
        <f t="shared" si="2"/>
        <v/>
      </c>
      <c r="AD5" s="223">
        <f t="shared" si="2"/>
        <v>2</v>
      </c>
    </row>
    <row r="6">
      <c r="A6" s="203" t="b">
        <v>0</v>
      </c>
      <c r="B6" s="217">
        <v>2.0</v>
      </c>
      <c r="C6" s="221">
        <v>3.9438156E7</v>
      </c>
      <c r="D6" s="222"/>
      <c r="E6" s="145"/>
      <c r="F6" s="223">
        <f t="shared" ref="F6:Q6" si="3">if($C6="","",
int($C6/F$4/ ifs($E$3=true,$E$2,$D$3=true,$D$2,$C$3=true,$C$2,true,1)))</f>
        <v>34901</v>
      </c>
      <c r="G6" s="223">
        <f t="shared" si="3"/>
        <v>35852</v>
      </c>
      <c r="H6" s="223">
        <f t="shared" si="3"/>
        <v>37205</v>
      </c>
      <c r="I6" s="223">
        <f t="shared" si="3"/>
        <v>37560</v>
      </c>
      <c r="J6" s="223">
        <f t="shared" si="3"/>
        <v>38289</v>
      </c>
      <c r="K6" s="223">
        <f t="shared" si="3"/>
        <v>39438</v>
      </c>
      <c r="L6" s="223">
        <f t="shared" si="3"/>
        <v>39836</v>
      </c>
      <c r="M6" s="223">
        <f t="shared" si="3"/>
        <v>40243</v>
      </c>
      <c r="N6" s="223">
        <f t="shared" si="3"/>
        <v>41513</v>
      </c>
      <c r="O6" s="223">
        <f t="shared" si="3"/>
        <v>42867</v>
      </c>
      <c r="P6" s="223">
        <f t="shared" si="3"/>
        <v>43338</v>
      </c>
      <c r="Q6" s="223">
        <f t="shared" si="3"/>
        <v>43820</v>
      </c>
      <c r="R6" s="207"/>
      <c r="S6" s="223" t="str">
        <f t="shared" ref="S6:AD6" si="4">if(OR($C6="",countifs($F$5:$Q$24,F6)&lt;2),"",rank(F6,$F$5:$Q$24,false))</f>
        <v/>
      </c>
      <c r="T6" s="223" t="str">
        <f t="shared" si="4"/>
        <v/>
      </c>
      <c r="U6" s="223" t="str">
        <f t="shared" si="4"/>
        <v/>
      </c>
      <c r="V6" s="223" t="str">
        <f t="shared" si="4"/>
        <v/>
      </c>
      <c r="W6" s="223" t="str">
        <f t="shared" si="4"/>
        <v/>
      </c>
      <c r="X6" s="223" t="str">
        <f t="shared" si="4"/>
        <v/>
      </c>
      <c r="Y6" s="223" t="str">
        <f t="shared" si="4"/>
        <v/>
      </c>
      <c r="Z6" s="223" t="str">
        <f t="shared" si="4"/>
        <v/>
      </c>
      <c r="AA6" s="223" t="str">
        <f t="shared" si="4"/>
        <v/>
      </c>
      <c r="AB6" s="223" t="str">
        <f t="shared" si="4"/>
        <v/>
      </c>
      <c r="AC6" s="223">
        <f t="shared" si="4"/>
        <v>2</v>
      </c>
      <c r="AD6" s="223" t="str">
        <f t="shared" si="4"/>
        <v/>
      </c>
    </row>
    <row r="7">
      <c r="A7" s="203" t="b">
        <v>0</v>
      </c>
      <c r="B7" s="217">
        <v>3.0</v>
      </c>
      <c r="C7" s="221"/>
      <c r="D7" s="222"/>
      <c r="E7" s="145"/>
      <c r="F7" s="223" t="str">
        <f t="shared" ref="F7:Q7" si="5">if($C7="","",
int($C7/F$4/ ifs($E$3=true,$E$2,$D$3=true,$D$2,$C$3=true,$C$2,true,1)))</f>
        <v/>
      </c>
      <c r="G7" s="223" t="str">
        <f t="shared" si="5"/>
        <v/>
      </c>
      <c r="H7" s="223" t="str">
        <f t="shared" si="5"/>
        <v/>
      </c>
      <c r="I7" s="223" t="str">
        <f t="shared" si="5"/>
        <v/>
      </c>
      <c r="J7" s="223" t="str">
        <f t="shared" si="5"/>
        <v/>
      </c>
      <c r="K7" s="223" t="str">
        <f t="shared" si="5"/>
        <v/>
      </c>
      <c r="L7" s="223" t="str">
        <f t="shared" si="5"/>
        <v/>
      </c>
      <c r="M7" s="223" t="str">
        <f t="shared" si="5"/>
        <v/>
      </c>
      <c r="N7" s="223" t="str">
        <f t="shared" si="5"/>
        <v/>
      </c>
      <c r="O7" s="223" t="str">
        <f t="shared" si="5"/>
        <v/>
      </c>
      <c r="P7" s="223" t="str">
        <f t="shared" si="5"/>
        <v/>
      </c>
      <c r="Q7" s="223" t="str">
        <f t="shared" si="5"/>
        <v/>
      </c>
      <c r="R7" s="207"/>
      <c r="S7" s="223" t="str">
        <f t="shared" ref="S7:AD7" si="6">if(OR($C7="",countifs($F$5:$Q$24,F7)&lt;2),"",rank(F7,$F$5:$Q$24,false))</f>
        <v/>
      </c>
      <c r="T7" s="223" t="str">
        <f t="shared" si="6"/>
        <v/>
      </c>
      <c r="U7" s="223" t="str">
        <f t="shared" si="6"/>
        <v/>
      </c>
      <c r="V7" s="223" t="str">
        <f t="shared" si="6"/>
        <v/>
      </c>
      <c r="W7" s="223" t="str">
        <f t="shared" si="6"/>
        <v/>
      </c>
      <c r="X7" s="223" t="str">
        <f t="shared" si="6"/>
        <v/>
      </c>
      <c r="Y7" s="223" t="str">
        <f t="shared" si="6"/>
        <v/>
      </c>
      <c r="Z7" s="223" t="str">
        <f t="shared" si="6"/>
        <v/>
      </c>
      <c r="AA7" s="223" t="str">
        <f t="shared" si="6"/>
        <v/>
      </c>
      <c r="AB7" s="223" t="str">
        <f t="shared" si="6"/>
        <v/>
      </c>
      <c r="AC7" s="223" t="str">
        <f t="shared" si="6"/>
        <v/>
      </c>
      <c r="AD7" s="223" t="str">
        <f t="shared" si="6"/>
        <v/>
      </c>
    </row>
    <row r="8">
      <c r="A8" s="203" t="b">
        <v>0</v>
      </c>
      <c r="B8" s="217">
        <v>4.0</v>
      </c>
      <c r="C8" s="221"/>
      <c r="D8" s="222"/>
      <c r="E8" s="145"/>
      <c r="F8" s="223" t="str">
        <f t="shared" ref="F8:Q8" si="7">if($C8="","",
int($C8/F$4/ ifs($E$3=true,$E$2,$D$3=true,$D$2,$C$3=true,$C$2,true,1)))</f>
        <v/>
      </c>
      <c r="G8" s="223" t="str">
        <f t="shared" si="7"/>
        <v/>
      </c>
      <c r="H8" s="223" t="str">
        <f t="shared" si="7"/>
        <v/>
      </c>
      <c r="I8" s="223" t="str">
        <f t="shared" si="7"/>
        <v/>
      </c>
      <c r="J8" s="223" t="str">
        <f t="shared" si="7"/>
        <v/>
      </c>
      <c r="K8" s="223" t="str">
        <f t="shared" si="7"/>
        <v/>
      </c>
      <c r="L8" s="223" t="str">
        <f t="shared" si="7"/>
        <v/>
      </c>
      <c r="M8" s="223" t="str">
        <f t="shared" si="7"/>
        <v/>
      </c>
      <c r="N8" s="223" t="str">
        <f t="shared" si="7"/>
        <v/>
      </c>
      <c r="O8" s="223" t="str">
        <f t="shared" si="7"/>
        <v/>
      </c>
      <c r="P8" s="223" t="str">
        <f t="shared" si="7"/>
        <v/>
      </c>
      <c r="Q8" s="223" t="str">
        <f t="shared" si="7"/>
        <v/>
      </c>
      <c r="R8" s="207"/>
      <c r="S8" s="223" t="str">
        <f t="shared" ref="S8:AD8" si="8">if(OR($C8="",countifs($F$5:$Q$24,F8)&lt;2),"",rank(F8,$F$5:$Q$24,false))</f>
        <v/>
      </c>
      <c r="T8" s="223" t="str">
        <f t="shared" si="8"/>
        <v/>
      </c>
      <c r="U8" s="223" t="str">
        <f t="shared" si="8"/>
        <v/>
      </c>
      <c r="V8" s="223" t="str">
        <f t="shared" si="8"/>
        <v/>
      </c>
      <c r="W8" s="223" t="str">
        <f t="shared" si="8"/>
        <v/>
      </c>
      <c r="X8" s="223" t="str">
        <f t="shared" si="8"/>
        <v/>
      </c>
      <c r="Y8" s="223" t="str">
        <f t="shared" si="8"/>
        <v/>
      </c>
      <c r="Z8" s="223" t="str">
        <f t="shared" si="8"/>
        <v/>
      </c>
      <c r="AA8" s="223" t="str">
        <f t="shared" si="8"/>
        <v/>
      </c>
      <c r="AB8" s="223" t="str">
        <f t="shared" si="8"/>
        <v/>
      </c>
      <c r="AC8" s="223" t="str">
        <f t="shared" si="8"/>
        <v/>
      </c>
      <c r="AD8" s="223" t="str">
        <f t="shared" si="8"/>
        <v/>
      </c>
    </row>
    <row r="9">
      <c r="A9" s="203" t="b">
        <v>0</v>
      </c>
      <c r="B9" s="217">
        <v>5.0</v>
      </c>
      <c r="C9" s="221"/>
      <c r="D9" s="222"/>
      <c r="E9" s="145"/>
      <c r="F9" s="223" t="str">
        <f t="shared" ref="F9:Q9" si="9">if($C9="","",
int($C9/F$4/ ifs($E$3=true,$E$2,$D$3=true,$D$2,$C$3=true,$C$2,true,1)))</f>
        <v/>
      </c>
      <c r="G9" s="223" t="str">
        <f t="shared" si="9"/>
        <v/>
      </c>
      <c r="H9" s="223" t="str">
        <f t="shared" si="9"/>
        <v/>
      </c>
      <c r="I9" s="223" t="str">
        <f t="shared" si="9"/>
        <v/>
      </c>
      <c r="J9" s="223" t="str">
        <f t="shared" si="9"/>
        <v/>
      </c>
      <c r="K9" s="223" t="str">
        <f t="shared" si="9"/>
        <v/>
      </c>
      <c r="L9" s="223" t="str">
        <f t="shared" si="9"/>
        <v/>
      </c>
      <c r="M9" s="223" t="str">
        <f t="shared" si="9"/>
        <v/>
      </c>
      <c r="N9" s="223" t="str">
        <f t="shared" si="9"/>
        <v/>
      </c>
      <c r="O9" s="223" t="str">
        <f t="shared" si="9"/>
        <v/>
      </c>
      <c r="P9" s="223" t="str">
        <f t="shared" si="9"/>
        <v/>
      </c>
      <c r="Q9" s="223" t="str">
        <f t="shared" si="9"/>
        <v/>
      </c>
      <c r="R9" s="207"/>
      <c r="S9" s="223" t="str">
        <f t="shared" ref="S9:AD9" si="10">if(OR($C9="",countifs($F$5:$Q$24,F9)&lt;2),"",rank(F9,$F$5:$Q$24,false))</f>
        <v/>
      </c>
      <c r="T9" s="223" t="str">
        <f t="shared" si="10"/>
        <v/>
      </c>
      <c r="U9" s="223" t="str">
        <f t="shared" si="10"/>
        <v/>
      </c>
      <c r="V9" s="223" t="str">
        <f t="shared" si="10"/>
        <v/>
      </c>
      <c r="W9" s="223" t="str">
        <f t="shared" si="10"/>
        <v/>
      </c>
      <c r="X9" s="223" t="str">
        <f t="shared" si="10"/>
        <v/>
      </c>
      <c r="Y9" s="223" t="str">
        <f t="shared" si="10"/>
        <v/>
      </c>
      <c r="Z9" s="223" t="str">
        <f t="shared" si="10"/>
        <v/>
      </c>
      <c r="AA9" s="223" t="str">
        <f t="shared" si="10"/>
        <v/>
      </c>
      <c r="AB9" s="223" t="str">
        <f t="shared" si="10"/>
        <v/>
      </c>
      <c r="AC9" s="223" t="str">
        <f t="shared" si="10"/>
        <v/>
      </c>
      <c r="AD9" s="223" t="str">
        <f t="shared" si="10"/>
        <v/>
      </c>
    </row>
    <row r="10">
      <c r="A10" s="203" t="b">
        <v>0</v>
      </c>
      <c r="B10" s="217">
        <v>6.0</v>
      </c>
      <c r="C10" s="221"/>
      <c r="D10" s="222"/>
      <c r="E10" s="145"/>
      <c r="F10" s="223" t="str">
        <f t="shared" ref="F10:Q10" si="11">if($C10="","",
int($C10/F$4/ ifs($E$3=true,$E$2,$D$3=true,$D$2,$C$3=true,$C$2,true,1)))</f>
        <v/>
      </c>
      <c r="G10" s="223" t="str">
        <f t="shared" si="11"/>
        <v/>
      </c>
      <c r="H10" s="223" t="str">
        <f t="shared" si="11"/>
        <v/>
      </c>
      <c r="I10" s="223" t="str">
        <f t="shared" si="11"/>
        <v/>
      </c>
      <c r="J10" s="223" t="str">
        <f t="shared" si="11"/>
        <v/>
      </c>
      <c r="K10" s="223" t="str">
        <f t="shared" si="11"/>
        <v/>
      </c>
      <c r="L10" s="223" t="str">
        <f t="shared" si="11"/>
        <v/>
      </c>
      <c r="M10" s="223" t="str">
        <f t="shared" si="11"/>
        <v/>
      </c>
      <c r="N10" s="223" t="str">
        <f t="shared" si="11"/>
        <v/>
      </c>
      <c r="O10" s="223" t="str">
        <f t="shared" si="11"/>
        <v/>
      </c>
      <c r="P10" s="223" t="str">
        <f t="shared" si="11"/>
        <v/>
      </c>
      <c r="Q10" s="223" t="str">
        <f t="shared" si="11"/>
        <v/>
      </c>
      <c r="R10" s="207"/>
      <c r="S10" s="223" t="str">
        <f t="shared" ref="S10:AD10" si="12">if(OR($C10="",countifs($F$5:$Q$24,F10)&lt;2),"",rank(F10,$F$5:$Q$24,false))</f>
        <v/>
      </c>
      <c r="T10" s="223" t="str">
        <f t="shared" si="12"/>
        <v/>
      </c>
      <c r="U10" s="223" t="str">
        <f t="shared" si="12"/>
        <v/>
      </c>
      <c r="V10" s="223" t="str">
        <f t="shared" si="12"/>
        <v/>
      </c>
      <c r="W10" s="223" t="str">
        <f t="shared" si="12"/>
        <v/>
      </c>
      <c r="X10" s="223" t="str">
        <f t="shared" si="12"/>
        <v/>
      </c>
      <c r="Y10" s="223" t="str">
        <f t="shared" si="12"/>
        <v/>
      </c>
      <c r="Z10" s="223" t="str">
        <f t="shared" si="12"/>
        <v/>
      </c>
      <c r="AA10" s="223" t="str">
        <f t="shared" si="12"/>
        <v/>
      </c>
      <c r="AB10" s="223" t="str">
        <f t="shared" si="12"/>
        <v/>
      </c>
      <c r="AC10" s="223" t="str">
        <f t="shared" si="12"/>
        <v/>
      </c>
      <c r="AD10" s="223" t="str">
        <f t="shared" si="12"/>
        <v/>
      </c>
    </row>
    <row r="11">
      <c r="A11" s="203" t="b">
        <v>0</v>
      </c>
      <c r="B11" s="217">
        <v>7.0</v>
      </c>
      <c r="C11" s="221"/>
      <c r="D11" s="222"/>
      <c r="E11" s="145"/>
      <c r="F11" s="223" t="str">
        <f t="shared" ref="F11:Q11" si="13">if($C11="","",
int($C11/F$4/ ifs($E$3=true,$E$2,$D$3=true,$D$2,$C$3=true,$C$2,true,1)))</f>
        <v/>
      </c>
      <c r="G11" s="223" t="str">
        <f t="shared" si="13"/>
        <v/>
      </c>
      <c r="H11" s="223" t="str">
        <f t="shared" si="13"/>
        <v/>
      </c>
      <c r="I11" s="223" t="str">
        <f t="shared" si="13"/>
        <v/>
      </c>
      <c r="J11" s="223" t="str">
        <f t="shared" si="13"/>
        <v/>
      </c>
      <c r="K11" s="223" t="str">
        <f t="shared" si="13"/>
        <v/>
      </c>
      <c r="L11" s="223" t="str">
        <f t="shared" si="13"/>
        <v/>
      </c>
      <c r="M11" s="223" t="str">
        <f t="shared" si="13"/>
        <v/>
      </c>
      <c r="N11" s="223" t="str">
        <f t="shared" si="13"/>
        <v/>
      </c>
      <c r="O11" s="223" t="str">
        <f t="shared" si="13"/>
        <v/>
      </c>
      <c r="P11" s="223" t="str">
        <f t="shared" si="13"/>
        <v/>
      </c>
      <c r="Q11" s="223" t="str">
        <f t="shared" si="13"/>
        <v/>
      </c>
      <c r="R11" s="207"/>
      <c r="S11" s="223" t="str">
        <f t="shared" ref="S11:AD11" si="14">if(OR($C11="",countifs($F$5:$Q$24,F11)&lt;2),"",rank(F11,$F$5:$Q$24,false))</f>
        <v/>
      </c>
      <c r="T11" s="223" t="str">
        <f t="shared" si="14"/>
        <v/>
      </c>
      <c r="U11" s="223" t="str">
        <f t="shared" si="14"/>
        <v/>
      </c>
      <c r="V11" s="223" t="str">
        <f t="shared" si="14"/>
        <v/>
      </c>
      <c r="W11" s="223" t="str">
        <f t="shared" si="14"/>
        <v/>
      </c>
      <c r="X11" s="223" t="str">
        <f t="shared" si="14"/>
        <v/>
      </c>
      <c r="Y11" s="223" t="str">
        <f t="shared" si="14"/>
        <v/>
      </c>
      <c r="Z11" s="223" t="str">
        <f t="shared" si="14"/>
        <v/>
      </c>
      <c r="AA11" s="223" t="str">
        <f t="shared" si="14"/>
        <v/>
      </c>
      <c r="AB11" s="223" t="str">
        <f t="shared" si="14"/>
        <v/>
      </c>
      <c r="AC11" s="223" t="str">
        <f t="shared" si="14"/>
        <v/>
      </c>
      <c r="AD11" s="223" t="str">
        <f t="shared" si="14"/>
        <v/>
      </c>
    </row>
    <row r="12">
      <c r="A12" s="203" t="b">
        <v>0</v>
      </c>
      <c r="B12" s="217">
        <v>8.0</v>
      </c>
      <c r="C12" s="221"/>
      <c r="D12" s="222"/>
      <c r="E12" s="145"/>
      <c r="F12" s="223" t="str">
        <f t="shared" ref="F12:Q12" si="15">if($C12="","",
int($C12/F$4/ ifs($E$3=true,$E$2,$D$3=true,$D$2,$C$3=true,$C$2,true,1)))</f>
        <v/>
      </c>
      <c r="G12" s="223" t="str">
        <f t="shared" si="15"/>
        <v/>
      </c>
      <c r="H12" s="223" t="str">
        <f t="shared" si="15"/>
        <v/>
      </c>
      <c r="I12" s="223" t="str">
        <f t="shared" si="15"/>
        <v/>
      </c>
      <c r="J12" s="223" t="str">
        <f t="shared" si="15"/>
        <v/>
      </c>
      <c r="K12" s="223" t="str">
        <f t="shared" si="15"/>
        <v/>
      </c>
      <c r="L12" s="223" t="str">
        <f t="shared" si="15"/>
        <v/>
      </c>
      <c r="M12" s="223" t="str">
        <f t="shared" si="15"/>
        <v/>
      </c>
      <c r="N12" s="223" t="str">
        <f t="shared" si="15"/>
        <v/>
      </c>
      <c r="O12" s="223" t="str">
        <f t="shared" si="15"/>
        <v/>
      </c>
      <c r="P12" s="223" t="str">
        <f t="shared" si="15"/>
        <v/>
      </c>
      <c r="Q12" s="223" t="str">
        <f t="shared" si="15"/>
        <v/>
      </c>
      <c r="R12" s="207"/>
      <c r="S12" s="223" t="str">
        <f t="shared" ref="S12:AD12" si="16">if(OR($C12="",countifs($F$5:$Q$24,F12)&lt;2),"",rank(F12,$F$5:$Q$24,false))</f>
        <v/>
      </c>
      <c r="T12" s="223" t="str">
        <f t="shared" si="16"/>
        <v/>
      </c>
      <c r="U12" s="223" t="str">
        <f t="shared" si="16"/>
        <v/>
      </c>
      <c r="V12" s="223" t="str">
        <f t="shared" si="16"/>
        <v/>
      </c>
      <c r="W12" s="223" t="str">
        <f t="shared" si="16"/>
        <v/>
      </c>
      <c r="X12" s="223" t="str">
        <f t="shared" si="16"/>
        <v/>
      </c>
      <c r="Y12" s="223" t="str">
        <f t="shared" si="16"/>
        <v/>
      </c>
      <c r="Z12" s="223" t="str">
        <f t="shared" si="16"/>
        <v/>
      </c>
      <c r="AA12" s="223" t="str">
        <f t="shared" si="16"/>
        <v/>
      </c>
      <c r="AB12" s="223" t="str">
        <f t="shared" si="16"/>
        <v/>
      </c>
      <c r="AC12" s="223" t="str">
        <f t="shared" si="16"/>
        <v/>
      </c>
      <c r="AD12" s="223" t="str">
        <f t="shared" si="16"/>
        <v/>
      </c>
    </row>
    <row r="13">
      <c r="A13" s="203" t="b">
        <v>0</v>
      </c>
      <c r="B13" s="217">
        <v>9.0</v>
      </c>
      <c r="C13" s="221"/>
      <c r="D13" s="222"/>
      <c r="E13" s="145"/>
      <c r="F13" s="223" t="str">
        <f t="shared" ref="F13:Q13" si="17">if($C13="","",
int($C13/F$4/ ifs($E$3=true,$E$2,$D$3=true,$D$2,$C$3=true,$C$2,true,1)))</f>
        <v/>
      </c>
      <c r="G13" s="223" t="str">
        <f t="shared" si="17"/>
        <v/>
      </c>
      <c r="H13" s="223" t="str">
        <f t="shared" si="17"/>
        <v/>
      </c>
      <c r="I13" s="223" t="str">
        <f t="shared" si="17"/>
        <v/>
      </c>
      <c r="J13" s="223" t="str">
        <f t="shared" si="17"/>
        <v/>
      </c>
      <c r="K13" s="223" t="str">
        <f t="shared" si="17"/>
        <v/>
      </c>
      <c r="L13" s="223" t="str">
        <f t="shared" si="17"/>
        <v/>
      </c>
      <c r="M13" s="223" t="str">
        <f t="shared" si="17"/>
        <v/>
      </c>
      <c r="N13" s="223" t="str">
        <f t="shared" si="17"/>
        <v/>
      </c>
      <c r="O13" s="223" t="str">
        <f t="shared" si="17"/>
        <v/>
      </c>
      <c r="P13" s="223" t="str">
        <f t="shared" si="17"/>
        <v/>
      </c>
      <c r="Q13" s="223" t="str">
        <f t="shared" si="17"/>
        <v/>
      </c>
      <c r="R13" s="207"/>
      <c r="S13" s="223" t="str">
        <f t="shared" ref="S13:AD13" si="18">if(OR($C13="",countifs($F$5:$Q$24,F13)&lt;2),"",rank(F13,$F$5:$Q$24,false))</f>
        <v/>
      </c>
      <c r="T13" s="223" t="str">
        <f t="shared" si="18"/>
        <v/>
      </c>
      <c r="U13" s="223" t="str">
        <f t="shared" si="18"/>
        <v/>
      </c>
      <c r="V13" s="223" t="str">
        <f t="shared" si="18"/>
        <v/>
      </c>
      <c r="W13" s="223" t="str">
        <f t="shared" si="18"/>
        <v/>
      </c>
      <c r="X13" s="223" t="str">
        <f t="shared" si="18"/>
        <v/>
      </c>
      <c r="Y13" s="223" t="str">
        <f t="shared" si="18"/>
        <v/>
      </c>
      <c r="Z13" s="223" t="str">
        <f t="shared" si="18"/>
        <v/>
      </c>
      <c r="AA13" s="223" t="str">
        <f t="shared" si="18"/>
        <v/>
      </c>
      <c r="AB13" s="223" t="str">
        <f t="shared" si="18"/>
        <v/>
      </c>
      <c r="AC13" s="223" t="str">
        <f t="shared" si="18"/>
        <v/>
      </c>
      <c r="AD13" s="223" t="str">
        <f t="shared" si="18"/>
        <v/>
      </c>
    </row>
    <row r="14">
      <c r="A14" s="203" t="b">
        <v>0</v>
      </c>
      <c r="B14" s="217">
        <v>10.0</v>
      </c>
      <c r="C14" s="221"/>
      <c r="D14" s="222"/>
      <c r="E14" s="145"/>
      <c r="F14" s="223" t="str">
        <f t="shared" ref="F14:Q14" si="19">if($C14="","",
int($C14/F$4/ ifs($E$3=true,$E$2,$D$3=true,$D$2,$C$3=true,$C$2,true,1)))</f>
        <v/>
      </c>
      <c r="G14" s="223" t="str">
        <f t="shared" si="19"/>
        <v/>
      </c>
      <c r="H14" s="223" t="str">
        <f t="shared" si="19"/>
        <v/>
      </c>
      <c r="I14" s="223" t="str">
        <f t="shared" si="19"/>
        <v/>
      </c>
      <c r="J14" s="223" t="str">
        <f t="shared" si="19"/>
        <v/>
      </c>
      <c r="K14" s="223" t="str">
        <f t="shared" si="19"/>
        <v/>
      </c>
      <c r="L14" s="223" t="str">
        <f t="shared" si="19"/>
        <v/>
      </c>
      <c r="M14" s="223" t="str">
        <f t="shared" si="19"/>
        <v/>
      </c>
      <c r="N14" s="223" t="str">
        <f t="shared" si="19"/>
        <v/>
      </c>
      <c r="O14" s="223" t="str">
        <f t="shared" si="19"/>
        <v/>
      </c>
      <c r="P14" s="223" t="str">
        <f t="shared" si="19"/>
        <v/>
      </c>
      <c r="Q14" s="223" t="str">
        <f t="shared" si="19"/>
        <v/>
      </c>
      <c r="R14" s="207"/>
      <c r="S14" s="223" t="str">
        <f t="shared" ref="S14:AD14" si="20">if(OR($C14="",countifs($F$5:$Q$24,F14)&lt;2),"",rank(F14,$F$5:$Q$24,false))</f>
        <v/>
      </c>
      <c r="T14" s="223" t="str">
        <f t="shared" si="20"/>
        <v/>
      </c>
      <c r="U14" s="223" t="str">
        <f t="shared" si="20"/>
        <v/>
      </c>
      <c r="V14" s="223" t="str">
        <f t="shared" si="20"/>
        <v/>
      </c>
      <c r="W14" s="223" t="str">
        <f t="shared" si="20"/>
        <v/>
      </c>
      <c r="X14" s="223" t="str">
        <f t="shared" si="20"/>
        <v/>
      </c>
      <c r="Y14" s="223" t="str">
        <f t="shared" si="20"/>
        <v/>
      </c>
      <c r="Z14" s="223" t="str">
        <f t="shared" si="20"/>
        <v/>
      </c>
      <c r="AA14" s="223" t="str">
        <f t="shared" si="20"/>
        <v/>
      </c>
      <c r="AB14" s="223" t="str">
        <f t="shared" si="20"/>
        <v/>
      </c>
      <c r="AC14" s="223" t="str">
        <f t="shared" si="20"/>
        <v/>
      </c>
      <c r="AD14" s="223" t="str">
        <f t="shared" si="20"/>
        <v/>
      </c>
    </row>
    <row r="15">
      <c r="A15" s="203" t="b">
        <v>0</v>
      </c>
      <c r="B15" s="217">
        <v>11.0</v>
      </c>
      <c r="C15" s="221"/>
      <c r="D15" s="222"/>
      <c r="E15" s="145"/>
      <c r="F15" s="223" t="str">
        <f t="shared" ref="F15:Q15" si="21">if($C15="","",
int($C15/F$4/ ifs($E$3=true,$E$2,$D$3=true,$D$2,$C$3=true,$C$2,true,1)))</f>
        <v/>
      </c>
      <c r="G15" s="223" t="str">
        <f t="shared" si="21"/>
        <v/>
      </c>
      <c r="H15" s="223" t="str">
        <f t="shared" si="21"/>
        <v/>
      </c>
      <c r="I15" s="223" t="str">
        <f t="shared" si="21"/>
        <v/>
      </c>
      <c r="J15" s="223" t="str">
        <f t="shared" si="21"/>
        <v/>
      </c>
      <c r="K15" s="223" t="str">
        <f t="shared" si="21"/>
        <v/>
      </c>
      <c r="L15" s="223" t="str">
        <f t="shared" si="21"/>
        <v/>
      </c>
      <c r="M15" s="223" t="str">
        <f t="shared" si="21"/>
        <v/>
      </c>
      <c r="N15" s="223" t="str">
        <f t="shared" si="21"/>
        <v/>
      </c>
      <c r="O15" s="223" t="str">
        <f t="shared" si="21"/>
        <v/>
      </c>
      <c r="P15" s="223" t="str">
        <f t="shared" si="21"/>
        <v/>
      </c>
      <c r="Q15" s="223" t="str">
        <f t="shared" si="21"/>
        <v/>
      </c>
      <c r="R15" s="207"/>
      <c r="S15" s="223" t="str">
        <f t="shared" ref="S15:AD15" si="22">if(OR($C15="",countifs($F$5:$Q$24,F15)&lt;2),"",rank(F15,$F$5:$Q$24,false))</f>
        <v/>
      </c>
      <c r="T15" s="223" t="str">
        <f t="shared" si="22"/>
        <v/>
      </c>
      <c r="U15" s="223" t="str">
        <f t="shared" si="22"/>
        <v/>
      </c>
      <c r="V15" s="223" t="str">
        <f t="shared" si="22"/>
        <v/>
      </c>
      <c r="W15" s="223" t="str">
        <f t="shared" si="22"/>
        <v/>
      </c>
      <c r="X15" s="223" t="str">
        <f t="shared" si="22"/>
        <v/>
      </c>
      <c r="Y15" s="223" t="str">
        <f t="shared" si="22"/>
        <v/>
      </c>
      <c r="Z15" s="223" t="str">
        <f t="shared" si="22"/>
        <v/>
      </c>
      <c r="AA15" s="223" t="str">
        <f t="shared" si="22"/>
        <v/>
      </c>
      <c r="AB15" s="223" t="str">
        <f t="shared" si="22"/>
        <v/>
      </c>
      <c r="AC15" s="223" t="str">
        <f t="shared" si="22"/>
        <v/>
      </c>
      <c r="AD15" s="223" t="str">
        <f t="shared" si="22"/>
        <v/>
      </c>
    </row>
    <row r="16">
      <c r="A16" s="203" t="b">
        <v>0</v>
      </c>
      <c r="B16" s="217">
        <v>12.0</v>
      </c>
      <c r="C16" s="221"/>
      <c r="D16" s="222"/>
      <c r="E16" s="145"/>
      <c r="F16" s="223" t="str">
        <f t="shared" ref="F16:Q16" si="23">if($C16="","",
int($C16/F$4/ ifs($E$3=true,$E$2,$D$3=true,$D$2,$C$3=true,$C$2,true,1)))</f>
        <v/>
      </c>
      <c r="G16" s="223" t="str">
        <f t="shared" si="23"/>
        <v/>
      </c>
      <c r="H16" s="223" t="str">
        <f t="shared" si="23"/>
        <v/>
      </c>
      <c r="I16" s="223" t="str">
        <f t="shared" si="23"/>
        <v/>
      </c>
      <c r="J16" s="223" t="str">
        <f t="shared" si="23"/>
        <v/>
      </c>
      <c r="K16" s="223" t="str">
        <f t="shared" si="23"/>
        <v/>
      </c>
      <c r="L16" s="223" t="str">
        <f t="shared" si="23"/>
        <v/>
      </c>
      <c r="M16" s="223" t="str">
        <f t="shared" si="23"/>
        <v/>
      </c>
      <c r="N16" s="223" t="str">
        <f t="shared" si="23"/>
        <v/>
      </c>
      <c r="O16" s="223" t="str">
        <f t="shared" si="23"/>
        <v/>
      </c>
      <c r="P16" s="223" t="str">
        <f t="shared" si="23"/>
        <v/>
      </c>
      <c r="Q16" s="223" t="str">
        <f t="shared" si="23"/>
        <v/>
      </c>
      <c r="R16" s="207"/>
      <c r="S16" s="223" t="str">
        <f t="shared" ref="S16:AD16" si="24">if(OR($C16="",countifs($F$5:$Q$24,F16)&lt;2),"",rank(F16,$F$5:$Q$24,false))</f>
        <v/>
      </c>
      <c r="T16" s="223" t="str">
        <f t="shared" si="24"/>
        <v/>
      </c>
      <c r="U16" s="223" t="str">
        <f t="shared" si="24"/>
        <v/>
      </c>
      <c r="V16" s="223" t="str">
        <f t="shared" si="24"/>
        <v/>
      </c>
      <c r="W16" s="223" t="str">
        <f t="shared" si="24"/>
        <v/>
      </c>
      <c r="X16" s="223" t="str">
        <f t="shared" si="24"/>
        <v/>
      </c>
      <c r="Y16" s="223" t="str">
        <f t="shared" si="24"/>
        <v/>
      </c>
      <c r="Z16" s="223" t="str">
        <f t="shared" si="24"/>
        <v/>
      </c>
      <c r="AA16" s="223" t="str">
        <f t="shared" si="24"/>
        <v/>
      </c>
      <c r="AB16" s="223" t="str">
        <f t="shared" si="24"/>
        <v/>
      </c>
      <c r="AC16" s="223" t="str">
        <f t="shared" si="24"/>
        <v/>
      </c>
      <c r="AD16" s="223" t="str">
        <f t="shared" si="24"/>
        <v/>
      </c>
    </row>
    <row r="17">
      <c r="A17" s="203" t="b">
        <v>0</v>
      </c>
      <c r="B17" s="217">
        <v>13.0</v>
      </c>
      <c r="C17" s="221"/>
      <c r="D17" s="222"/>
      <c r="E17" s="145"/>
      <c r="F17" s="223" t="str">
        <f t="shared" ref="F17:Q17" si="25">if($C17="","",
int($C17/F$4/ ifs($E$3=true,$E$2,$D$3=true,$D$2,$C$3=true,$C$2,true,1)))</f>
        <v/>
      </c>
      <c r="G17" s="223" t="str">
        <f t="shared" si="25"/>
        <v/>
      </c>
      <c r="H17" s="223" t="str">
        <f t="shared" si="25"/>
        <v/>
      </c>
      <c r="I17" s="223" t="str">
        <f t="shared" si="25"/>
        <v/>
      </c>
      <c r="J17" s="223" t="str">
        <f t="shared" si="25"/>
        <v/>
      </c>
      <c r="K17" s="223" t="str">
        <f t="shared" si="25"/>
        <v/>
      </c>
      <c r="L17" s="223" t="str">
        <f t="shared" si="25"/>
        <v/>
      </c>
      <c r="M17" s="223" t="str">
        <f t="shared" si="25"/>
        <v/>
      </c>
      <c r="N17" s="223" t="str">
        <f t="shared" si="25"/>
        <v/>
      </c>
      <c r="O17" s="223" t="str">
        <f t="shared" si="25"/>
        <v/>
      </c>
      <c r="P17" s="223" t="str">
        <f t="shared" si="25"/>
        <v/>
      </c>
      <c r="Q17" s="223" t="str">
        <f t="shared" si="25"/>
        <v/>
      </c>
      <c r="R17" s="207"/>
      <c r="S17" s="223" t="str">
        <f t="shared" ref="S17:AD17" si="26">if(OR($C17="",countifs($F$5:$Q$24,F17)&lt;2),"",rank(F17,$F$5:$Q$24,false))</f>
        <v/>
      </c>
      <c r="T17" s="223" t="str">
        <f t="shared" si="26"/>
        <v/>
      </c>
      <c r="U17" s="223" t="str">
        <f t="shared" si="26"/>
        <v/>
      </c>
      <c r="V17" s="223" t="str">
        <f t="shared" si="26"/>
        <v/>
      </c>
      <c r="W17" s="223" t="str">
        <f t="shared" si="26"/>
        <v/>
      </c>
      <c r="X17" s="223" t="str">
        <f t="shared" si="26"/>
        <v/>
      </c>
      <c r="Y17" s="223" t="str">
        <f t="shared" si="26"/>
        <v/>
      </c>
      <c r="Z17" s="223" t="str">
        <f t="shared" si="26"/>
        <v/>
      </c>
      <c r="AA17" s="223" t="str">
        <f t="shared" si="26"/>
        <v/>
      </c>
      <c r="AB17" s="223" t="str">
        <f t="shared" si="26"/>
        <v/>
      </c>
      <c r="AC17" s="223" t="str">
        <f t="shared" si="26"/>
        <v/>
      </c>
      <c r="AD17" s="223" t="str">
        <f t="shared" si="26"/>
        <v/>
      </c>
    </row>
    <row r="18">
      <c r="A18" s="203" t="b">
        <v>0</v>
      </c>
      <c r="B18" s="217">
        <v>14.0</v>
      </c>
      <c r="C18" s="221"/>
      <c r="D18" s="222"/>
      <c r="E18" s="145"/>
      <c r="F18" s="223" t="str">
        <f t="shared" ref="F18:Q18" si="27">if($C18="","",
int($C18/F$4/ ifs($E$3=true,$E$2,$D$3=true,$D$2,$C$3=true,$C$2,true,1)))</f>
        <v/>
      </c>
      <c r="G18" s="223" t="str">
        <f t="shared" si="27"/>
        <v/>
      </c>
      <c r="H18" s="223" t="str">
        <f t="shared" si="27"/>
        <v/>
      </c>
      <c r="I18" s="223" t="str">
        <f t="shared" si="27"/>
        <v/>
      </c>
      <c r="J18" s="223" t="str">
        <f t="shared" si="27"/>
        <v/>
      </c>
      <c r="K18" s="223" t="str">
        <f t="shared" si="27"/>
        <v/>
      </c>
      <c r="L18" s="223" t="str">
        <f t="shared" si="27"/>
        <v/>
      </c>
      <c r="M18" s="223" t="str">
        <f t="shared" si="27"/>
        <v/>
      </c>
      <c r="N18" s="223" t="str">
        <f t="shared" si="27"/>
        <v/>
      </c>
      <c r="O18" s="223" t="str">
        <f t="shared" si="27"/>
        <v/>
      </c>
      <c r="P18" s="223" t="str">
        <f t="shared" si="27"/>
        <v/>
      </c>
      <c r="Q18" s="223" t="str">
        <f t="shared" si="27"/>
        <v/>
      </c>
      <c r="R18" s="207"/>
      <c r="S18" s="223" t="str">
        <f t="shared" ref="S18:AD18" si="28">if(OR($C18="",countifs($F$5:$Q$24,F18)&lt;2),"",rank(F18,$F$5:$Q$24,false))</f>
        <v/>
      </c>
      <c r="T18" s="223" t="str">
        <f t="shared" si="28"/>
        <v/>
      </c>
      <c r="U18" s="223" t="str">
        <f t="shared" si="28"/>
        <v/>
      </c>
      <c r="V18" s="223" t="str">
        <f t="shared" si="28"/>
        <v/>
      </c>
      <c r="W18" s="223" t="str">
        <f t="shared" si="28"/>
        <v/>
      </c>
      <c r="X18" s="223" t="str">
        <f t="shared" si="28"/>
        <v/>
      </c>
      <c r="Y18" s="223" t="str">
        <f t="shared" si="28"/>
        <v/>
      </c>
      <c r="Z18" s="223" t="str">
        <f t="shared" si="28"/>
        <v/>
      </c>
      <c r="AA18" s="223" t="str">
        <f t="shared" si="28"/>
        <v/>
      </c>
      <c r="AB18" s="223" t="str">
        <f t="shared" si="28"/>
        <v/>
      </c>
      <c r="AC18" s="223" t="str">
        <f t="shared" si="28"/>
        <v/>
      </c>
      <c r="AD18" s="223" t="str">
        <f t="shared" si="28"/>
        <v/>
      </c>
    </row>
    <row r="19">
      <c r="A19" s="203" t="b">
        <v>0</v>
      </c>
      <c r="B19" s="217">
        <v>15.0</v>
      </c>
      <c r="C19" s="221"/>
      <c r="D19" s="222"/>
      <c r="E19" s="145"/>
      <c r="F19" s="223" t="str">
        <f t="shared" ref="F19:Q19" si="29">if($C19="","",
int($C19/F$4/ ifs($E$3=true,$E$2,$D$3=true,$D$2,$C$3=true,$C$2,true,1)))</f>
        <v/>
      </c>
      <c r="G19" s="223" t="str">
        <f t="shared" si="29"/>
        <v/>
      </c>
      <c r="H19" s="223" t="str">
        <f t="shared" si="29"/>
        <v/>
      </c>
      <c r="I19" s="223" t="str">
        <f t="shared" si="29"/>
        <v/>
      </c>
      <c r="J19" s="223" t="str">
        <f t="shared" si="29"/>
        <v/>
      </c>
      <c r="K19" s="223" t="str">
        <f t="shared" si="29"/>
        <v/>
      </c>
      <c r="L19" s="223" t="str">
        <f t="shared" si="29"/>
        <v/>
      </c>
      <c r="M19" s="223" t="str">
        <f t="shared" si="29"/>
        <v/>
      </c>
      <c r="N19" s="223" t="str">
        <f t="shared" si="29"/>
        <v/>
      </c>
      <c r="O19" s="223" t="str">
        <f t="shared" si="29"/>
        <v/>
      </c>
      <c r="P19" s="223" t="str">
        <f t="shared" si="29"/>
        <v/>
      </c>
      <c r="Q19" s="223" t="str">
        <f t="shared" si="29"/>
        <v/>
      </c>
      <c r="R19" s="207"/>
      <c r="S19" s="223" t="str">
        <f t="shared" ref="S19:AD19" si="30">if(OR($C19="",countifs($F$5:$Q$24,F19)&lt;2),"",rank(F19,$F$5:$Q$24,false))</f>
        <v/>
      </c>
      <c r="T19" s="223" t="str">
        <f t="shared" si="30"/>
        <v/>
      </c>
      <c r="U19" s="223" t="str">
        <f t="shared" si="30"/>
        <v/>
      </c>
      <c r="V19" s="223" t="str">
        <f t="shared" si="30"/>
        <v/>
      </c>
      <c r="W19" s="223" t="str">
        <f t="shared" si="30"/>
        <v/>
      </c>
      <c r="X19" s="223" t="str">
        <f t="shared" si="30"/>
        <v/>
      </c>
      <c r="Y19" s="223" t="str">
        <f t="shared" si="30"/>
        <v/>
      </c>
      <c r="Z19" s="223" t="str">
        <f t="shared" si="30"/>
        <v/>
      </c>
      <c r="AA19" s="223" t="str">
        <f t="shared" si="30"/>
        <v/>
      </c>
      <c r="AB19" s="223" t="str">
        <f t="shared" si="30"/>
        <v/>
      </c>
      <c r="AC19" s="223" t="str">
        <f t="shared" si="30"/>
        <v/>
      </c>
      <c r="AD19" s="223" t="str">
        <f t="shared" si="30"/>
        <v/>
      </c>
    </row>
    <row r="20">
      <c r="A20" s="203" t="b">
        <v>0</v>
      </c>
      <c r="B20" s="217">
        <v>16.0</v>
      </c>
      <c r="C20" s="221"/>
      <c r="D20" s="222"/>
      <c r="E20" s="145"/>
      <c r="F20" s="223" t="str">
        <f t="shared" ref="F20:Q20" si="31">if($C20="","",
int($C20/F$4/ ifs($E$3=true,$E$2,$D$3=true,$D$2,$C$3=true,$C$2,true,1)))</f>
        <v/>
      </c>
      <c r="G20" s="223" t="str">
        <f t="shared" si="31"/>
        <v/>
      </c>
      <c r="H20" s="223" t="str">
        <f t="shared" si="31"/>
        <v/>
      </c>
      <c r="I20" s="223" t="str">
        <f t="shared" si="31"/>
        <v/>
      </c>
      <c r="J20" s="223" t="str">
        <f t="shared" si="31"/>
        <v/>
      </c>
      <c r="K20" s="223" t="str">
        <f t="shared" si="31"/>
        <v/>
      </c>
      <c r="L20" s="223" t="str">
        <f t="shared" si="31"/>
        <v/>
      </c>
      <c r="M20" s="223" t="str">
        <f t="shared" si="31"/>
        <v/>
      </c>
      <c r="N20" s="223" t="str">
        <f t="shared" si="31"/>
        <v/>
      </c>
      <c r="O20" s="223" t="str">
        <f t="shared" si="31"/>
        <v/>
      </c>
      <c r="P20" s="223" t="str">
        <f t="shared" si="31"/>
        <v/>
      </c>
      <c r="Q20" s="223" t="str">
        <f t="shared" si="31"/>
        <v/>
      </c>
      <c r="R20" s="207"/>
      <c r="S20" s="223" t="str">
        <f t="shared" ref="S20:AD20" si="32">if(OR($C20="",countifs($F$5:$Q$24,F20)&lt;2),"",rank(F20,$F$5:$Q$24,false))</f>
        <v/>
      </c>
      <c r="T20" s="223" t="str">
        <f t="shared" si="32"/>
        <v/>
      </c>
      <c r="U20" s="223" t="str">
        <f t="shared" si="32"/>
        <v/>
      </c>
      <c r="V20" s="223" t="str">
        <f t="shared" si="32"/>
        <v/>
      </c>
      <c r="W20" s="223" t="str">
        <f t="shared" si="32"/>
        <v/>
      </c>
      <c r="X20" s="223" t="str">
        <f t="shared" si="32"/>
        <v/>
      </c>
      <c r="Y20" s="223" t="str">
        <f t="shared" si="32"/>
        <v/>
      </c>
      <c r="Z20" s="223" t="str">
        <f t="shared" si="32"/>
        <v/>
      </c>
      <c r="AA20" s="223" t="str">
        <f t="shared" si="32"/>
        <v/>
      </c>
      <c r="AB20" s="223" t="str">
        <f t="shared" si="32"/>
        <v/>
      </c>
      <c r="AC20" s="223" t="str">
        <f t="shared" si="32"/>
        <v/>
      </c>
      <c r="AD20" s="223" t="str">
        <f t="shared" si="32"/>
        <v/>
      </c>
    </row>
    <row r="21">
      <c r="A21" s="203" t="b">
        <v>0</v>
      </c>
      <c r="B21" s="217">
        <v>17.0</v>
      </c>
      <c r="C21" s="221"/>
      <c r="D21" s="222"/>
      <c r="E21" s="145"/>
      <c r="F21" s="223" t="str">
        <f t="shared" ref="F21:Q21" si="33">if($C21="","",
int($C21/F$4/ ifs($E$3=true,$E$2,$D$3=true,$D$2,$C$3=true,$C$2,true,1)))</f>
        <v/>
      </c>
      <c r="G21" s="223" t="str">
        <f t="shared" si="33"/>
        <v/>
      </c>
      <c r="H21" s="223" t="str">
        <f t="shared" si="33"/>
        <v/>
      </c>
      <c r="I21" s="223" t="str">
        <f t="shared" si="33"/>
        <v/>
      </c>
      <c r="J21" s="223" t="str">
        <f t="shared" si="33"/>
        <v/>
      </c>
      <c r="K21" s="223" t="str">
        <f t="shared" si="33"/>
        <v/>
      </c>
      <c r="L21" s="223" t="str">
        <f t="shared" si="33"/>
        <v/>
      </c>
      <c r="M21" s="223" t="str">
        <f t="shared" si="33"/>
        <v/>
      </c>
      <c r="N21" s="223" t="str">
        <f t="shared" si="33"/>
        <v/>
      </c>
      <c r="O21" s="223" t="str">
        <f t="shared" si="33"/>
        <v/>
      </c>
      <c r="P21" s="223" t="str">
        <f t="shared" si="33"/>
        <v/>
      </c>
      <c r="Q21" s="223" t="str">
        <f t="shared" si="33"/>
        <v/>
      </c>
      <c r="R21" s="207"/>
      <c r="S21" s="223" t="str">
        <f t="shared" ref="S21:AD21" si="34">if(OR($C21="",countifs($F$5:$Q$24,F21)&lt;2),"",rank(F21,$F$5:$Q$24,false))</f>
        <v/>
      </c>
      <c r="T21" s="223" t="str">
        <f t="shared" si="34"/>
        <v/>
      </c>
      <c r="U21" s="223" t="str">
        <f t="shared" si="34"/>
        <v/>
      </c>
      <c r="V21" s="223" t="str">
        <f t="shared" si="34"/>
        <v/>
      </c>
      <c r="W21" s="223" t="str">
        <f t="shared" si="34"/>
        <v/>
      </c>
      <c r="X21" s="223" t="str">
        <f t="shared" si="34"/>
        <v/>
      </c>
      <c r="Y21" s="223" t="str">
        <f t="shared" si="34"/>
        <v/>
      </c>
      <c r="Z21" s="223" t="str">
        <f t="shared" si="34"/>
        <v/>
      </c>
      <c r="AA21" s="223" t="str">
        <f t="shared" si="34"/>
        <v/>
      </c>
      <c r="AB21" s="223" t="str">
        <f t="shared" si="34"/>
        <v/>
      </c>
      <c r="AC21" s="223" t="str">
        <f t="shared" si="34"/>
        <v/>
      </c>
      <c r="AD21" s="223" t="str">
        <f t="shared" si="34"/>
        <v/>
      </c>
    </row>
    <row r="22">
      <c r="A22" s="203" t="b">
        <v>0</v>
      </c>
      <c r="B22" s="217">
        <v>18.0</v>
      </c>
      <c r="C22" s="221"/>
      <c r="D22" s="222"/>
      <c r="E22" s="145"/>
      <c r="F22" s="223" t="str">
        <f t="shared" ref="F22:Q22" si="35">if($C22="","",
int($C22/F$4/ ifs($E$3=true,$E$2,$D$3=true,$D$2,$C$3=true,$C$2,true,1)))</f>
        <v/>
      </c>
      <c r="G22" s="223" t="str">
        <f t="shared" si="35"/>
        <v/>
      </c>
      <c r="H22" s="223" t="str">
        <f t="shared" si="35"/>
        <v/>
      </c>
      <c r="I22" s="223" t="str">
        <f t="shared" si="35"/>
        <v/>
      </c>
      <c r="J22" s="223" t="str">
        <f t="shared" si="35"/>
        <v/>
      </c>
      <c r="K22" s="223" t="str">
        <f t="shared" si="35"/>
        <v/>
      </c>
      <c r="L22" s="223" t="str">
        <f t="shared" si="35"/>
        <v/>
      </c>
      <c r="M22" s="223" t="str">
        <f t="shared" si="35"/>
        <v/>
      </c>
      <c r="N22" s="223" t="str">
        <f t="shared" si="35"/>
        <v/>
      </c>
      <c r="O22" s="223" t="str">
        <f t="shared" si="35"/>
        <v/>
      </c>
      <c r="P22" s="223" t="str">
        <f t="shared" si="35"/>
        <v/>
      </c>
      <c r="Q22" s="223" t="str">
        <f t="shared" si="35"/>
        <v/>
      </c>
      <c r="R22" s="207"/>
      <c r="S22" s="223" t="str">
        <f t="shared" ref="S22:AD22" si="36">if(OR($C22="",countifs($F$5:$Q$24,F22)&lt;2),"",rank(F22,$F$5:$Q$24,false))</f>
        <v/>
      </c>
      <c r="T22" s="223" t="str">
        <f t="shared" si="36"/>
        <v/>
      </c>
      <c r="U22" s="223" t="str">
        <f t="shared" si="36"/>
        <v/>
      </c>
      <c r="V22" s="223" t="str">
        <f t="shared" si="36"/>
        <v/>
      </c>
      <c r="W22" s="223" t="str">
        <f t="shared" si="36"/>
        <v/>
      </c>
      <c r="X22" s="223" t="str">
        <f t="shared" si="36"/>
        <v/>
      </c>
      <c r="Y22" s="223" t="str">
        <f t="shared" si="36"/>
        <v/>
      </c>
      <c r="Z22" s="223" t="str">
        <f t="shared" si="36"/>
        <v/>
      </c>
      <c r="AA22" s="223" t="str">
        <f t="shared" si="36"/>
        <v/>
      </c>
      <c r="AB22" s="223" t="str">
        <f t="shared" si="36"/>
        <v/>
      </c>
      <c r="AC22" s="223" t="str">
        <f t="shared" si="36"/>
        <v/>
      </c>
      <c r="AD22" s="223" t="str">
        <f t="shared" si="36"/>
        <v/>
      </c>
    </row>
    <row r="23">
      <c r="A23" s="203" t="b">
        <v>0</v>
      </c>
      <c r="B23" s="217">
        <v>19.0</v>
      </c>
      <c r="C23" s="221"/>
      <c r="D23" s="222"/>
      <c r="E23" s="145"/>
      <c r="F23" s="223" t="str">
        <f t="shared" ref="F23:Q23" si="37">if($C23="","",
int($C23/F$4/ ifs($E$3=true,$E$2,$D$3=true,$D$2,$C$3=true,$C$2,true,1)))</f>
        <v/>
      </c>
      <c r="G23" s="223" t="str">
        <f t="shared" si="37"/>
        <v/>
      </c>
      <c r="H23" s="223" t="str">
        <f t="shared" si="37"/>
        <v/>
      </c>
      <c r="I23" s="223" t="str">
        <f t="shared" si="37"/>
        <v/>
      </c>
      <c r="J23" s="223" t="str">
        <f t="shared" si="37"/>
        <v/>
      </c>
      <c r="K23" s="223" t="str">
        <f t="shared" si="37"/>
        <v/>
      </c>
      <c r="L23" s="223" t="str">
        <f t="shared" si="37"/>
        <v/>
      </c>
      <c r="M23" s="223" t="str">
        <f t="shared" si="37"/>
        <v/>
      </c>
      <c r="N23" s="223" t="str">
        <f t="shared" si="37"/>
        <v/>
      </c>
      <c r="O23" s="223" t="str">
        <f t="shared" si="37"/>
        <v/>
      </c>
      <c r="P23" s="223" t="str">
        <f t="shared" si="37"/>
        <v/>
      </c>
      <c r="Q23" s="223" t="str">
        <f t="shared" si="37"/>
        <v/>
      </c>
      <c r="R23" s="207"/>
      <c r="S23" s="223" t="str">
        <f t="shared" ref="S23:AD23" si="38">if(OR($C23="",countifs($F$5:$Q$24,F23)&lt;2),"",rank(F23,$F$5:$Q$24,false))</f>
        <v/>
      </c>
      <c r="T23" s="223" t="str">
        <f t="shared" si="38"/>
        <v/>
      </c>
      <c r="U23" s="223" t="str">
        <f t="shared" si="38"/>
        <v/>
      </c>
      <c r="V23" s="223" t="str">
        <f t="shared" si="38"/>
        <v/>
      </c>
      <c r="W23" s="223" t="str">
        <f t="shared" si="38"/>
        <v/>
      </c>
      <c r="X23" s="223" t="str">
        <f t="shared" si="38"/>
        <v/>
      </c>
      <c r="Y23" s="223" t="str">
        <f t="shared" si="38"/>
        <v/>
      </c>
      <c r="Z23" s="223" t="str">
        <f t="shared" si="38"/>
        <v/>
      </c>
      <c r="AA23" s="223" t="str">
        <f t="shared" si="38"/>
        <v/>
      </c>
      <c r="AB23" s="223" t="str">
        <f t="shared" si="38"/>
        <v/>
      </c>
      <c r="AC23" s="223" t="str">
        <f t="shared" si="38"/>
        <v/>
      </c>
      <c r="AD23" s="223" t="str">
        <f t="shared" si="38"/>
        <v/>
      </c>
    </row>
    <row r="24">
      <c r="A24" s="203" t="b">
        <v>0</v>
      </c>
      <c r="B24" s="217">
        <v>20.0</v>
      </c>
      <c r="C24" s="221"/>
      <c r="D24" s="222"/>
      <c r="E24" s="145"/>
      <c r="F24" s="223" t="str">
        <f t="shared" ref="F24:Q24" si="39">if($C24="","",
int($C24/F$4/ ifs($E$3=true,$E$2,$D$3=true,$D$2,$C$3=true,$C$2,true,1)))</f>
        <v/>
      </c>
      <c r="G24" s="223" t="str">
        <f t="shared" si="39"/>
        <v/>
      </c>
      <c r="H24" s="223" t="str">
        <f t="shared" si="39"/>
        <v/>
      </c>
      <c r="I24" s="223" t="str">
        <f t="shared" si="39"/>
        <v/>
      </c>
      <c r="J24" s="223" t="str">
        <f t="shared" si="39"/>
        <v/>
      </c>
      <c r="K24" s="223" t="str">
        <f t="shared" si="39"/>
        <v/>
      </c>
      <c r="L24" s="223" t="str">
        <f t="shared" si="39"/>
        <v/>
      </c>
      <c r="M24" s="223" t="str">
        <f t="shared" si="39"/>
        <v/>
      </c>
      <c r="N24" s="223" t="str">
        <f t="shared" si="39"/>
        <v/>
      </c>
      <c r="O24" s="223" t="str">
        <f t="shared" si="39"/>
        <v/>
      </c>
      <c r="P24" s="223" t="str">
        <f t="shared" si="39"/>
        <v/>
      </c>
      <c r="Q24" s="223" t="str">
        <f t="shared" si="39"/>
        <v/>
      </c>
      <c r="R24" s="207"/>
      <c r="S24" s="223" t="str">
        <f t="shared" ref="S24:AD24" si="40">if(OR($C24="",countifs($F$5:$Q$24,F24)&lt;2),"",rank(F24,$F$5:$Q$24,false))</f>
        <v/>
      </c>
      <c r="T24" s="223" t="str">
        <f t="shared" si="40"/>
        <v/>
      </c>
      <c r="U24" s="223" t="str">
        <f t="shared" si="40"/>
        <v/>
      </c>
      <c r="V24" s="223" t="str">
        <f t="shared" si="40"/>
        <v/>
      </c>
      <c r="W24" s="223" t="str">
        <f t="shared" si="40"/>
        <v/>
      </c>
      <c r="X24" s="223" t="str">
        <f t="shared" si="40"/>
        <v/>
      </c>
      <c r="Y24" s="223" t="str">
        <f t="shared" si="40"/>
        <v/>
      </c>
      <c r="Z24" s="223" t="str">
        <f t="shared" si="40"/>
        <v/>
      </c>
      <c r="AA24" s="223" t="str">
        <f t="shared" si="40"/>
        <v/>
      </c>
      <c r="AB24" s="223" t="str">
        <f t="shared" si="40"/>
        <v/>
      </c>
      <c r="AC24" s="223" t="str">
        <f t="shared" si="40"/>
        <v/>
      </c>
      <c r="AD24" s="223" t="str">
        <f t="shared" si="40"/>
        <v/>
      </c>
    </row>
    <row r="25">
      <c r="A25" s="207"/>
      <c r="B25" s="228"/>
      <c r="C25" s="229">
        <f>IFERROR(__xludf.DUMMYFUNCTION("QUERY(QUERY(TOCOL(F5:Q24,1),""select Col1, count(Col1) where Col1 is not null group by Col1 order by Col1 desc label Col1 '', count(Col1) ''"",0),""select Col1 where Col2 &gt; 1"",0)"),43338.0)</f>
        <v>43338</v>
      </c>
      <c r="F25" s="230">
        <f t="shared" ref="F25:Q25" si="41">if($C25="","",$C25*F$4)</f>
        <v>4897194</v>
      </c>
      <c r="G25" s="230">
        <f t="shared" si="41"/>
        <v>4767180</v>
      </c>
      <c r="H25" s="230">
        <f t="shared" si="41"/>
        <v>4593828</v>
      </c>
      <c r="I25" s="230">
        <f t="shared" si="41"/>
        <v>4550490</v>
      </c>
      <c r="J25" s="230">
        <f t="shared" si="41"/>
        <v>4463814</v>
      </c>
      <c r="K25" s="231">
        <f t="shared" si="41"/>
        <v>4333800</v>
      </c>
      <c r="L25" s="230">
        <f t="shared" si="41"/>
        <v>4290462</v>
      </c>
      <c r="M25" s="230">
        <f t="shared" si="41"/>
        <v>4247124</v>
      </c>
      <c r="N25" s="230">
        <f t="shared" si="41"/>
        <v>4117110</v>
      </c>
      <c r="O25" s="230">
        <f t="shared" si="41"/>
        <v>3987096</v>
      </c>
      <c r="P25" s="230">
        <f t="shared" si="41"/>
        <v>3943758</v>
      </c>
      <c r="Q25" s="230">
        <f t="shared" si="41"/>
        <v>3900420</v>
      </c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</row>
    <row r="26">
      <c r="A26" s="203"/>
      <c r="B26" s="228"/>
      <c r="C26" s="229"/>
      <c r="F26" s="230" t="str">
        <f t="shared" ref="F26:Q26" si="42">if($C26="","",$C26*F$4)</f>
        <v/>
      </c>
      <c r="G26" s="230" t="str">
        <f t="shared" si="42"/>
        <v/>
      </c>
      <c r="H26" s="230" t="str">
        <f t="shared" si="42"/>
        <v/>
      </c>
      <c r="I26" s="230" t="str">
        <f t="shared" si="42"/>
        <v/>
      </c>
      <c r="J26" s="230" t="str">
        <f t="shared" si="42"/>
        <v/>
      </c>
      <c r="K26" s="231" t="str">
        <f t="shared" si="42"/>
        <v/>
      </c>
      <c r="L26" s="230" t="str">
        <f t="shared" si="42"/>
        <v/>
      </c>
      <c r="M26" s="230" t="str">
        <f t="shared" si="42"/>
        <v/>
      </c>
      <c r="N26" s="230" t="str">
        <f t="shared" si="42"/>
        <v/>
      </c>
      <c r="O26" s="230" t="str">
        <f t="shared" si="42"/>
        <v/>
      </c>
      <c r="P26" s="230" t="str">
        <f t="shared" si="42"/>
        <v/>
      </c>
      <c r="Q26" s="230" t="str">
        <f t="shared" si="42"/>
        <v/>
      </c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</row>
    <row r="27">
      <c r="A27" s="232"/>
      <c r="B27" s="228"/>
      <c r="C27" s="229"/>
      <c r="F27" s="230" t="str">
        <f t="shared" ref="F27:Q27" si="43">if($C27="","",$C27*F$4)</f>
        <v/>
      </c>
      <c r="G27" s="230" t="str">
        <f t="shared" si="43"/>
        <v/>
      </c>
      <c r="H27" s="230" t="str">
        <f t="shared" si="43"/>
        <v/>
      </c>
      <c r="I27" s="230" t="str">
        <f t="shared" si="43"/>
        <v/>
      </c>
      <c r="J27" s="230" t="str">
        <f t="shared" si="43"/>
        <v/>
      </c>
      <c r="K27" s="231" t="str">
        <f t="shared" si="43"/>
        <v/>
      </c>
      <c r="L27" s="230" t="str">
        <f t="shared" si="43"/>
        <v/>
      </c>
      <c r="M27" s="230" t="str">
        <f t="shared" si="43"/>
        <v/>
      </c>
      <c r="N27" s="230" t="str">
        <f t="shared" si="43"/>
        <v/>
      </c>
      <c r="O27" s="230" t="str">
        <f t="shared" si="43"/>
        <v/>
      </c>
      <c r="P27" s="230" t="str">
        <f t="shared" si="43"/>
        <v/>
      </c>
      <c r="Q27" s="230" t="str">
        <f t="shared" si="43"/>
        <v/>
      </c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</row>
    <row r="28">
      <c r="A28" s="203"/>
      <c r="C28" s="229"/>
      <c r="F28" s="230" t="str">
        <f t="shared" ref="F28:Q28" si="44">if($C28="","",$C28*F$4)</f>
        <v/>
      </c>
      <c r="G28" s="230" t="str">
        <f t="shared" si="44"/>
        <v/>
      </c>
      <c r="H28" s="230" t="str">
        <f t="shared" si="44"/>
        <v/>
      </c>
      <c r="I28" s="230" t="str">
        <f t="shared" si="44"/>
        <v/>
      </c>
      <c r="J28" s="230" t="str">
        <f t="shared" si="44"/>
        <v/>
      </c>
      <c r="K28" s="231" t="str">
        <f t="shared" si="44"/>
        <v/>
      </c>
      <c r="L28" s="230" t="str">
        <f t="shared" si="44"/>
        <v/>
      </c>
      <c r="M28" s="230" t="str">
        <f t="shared" si="44"/>
        <v/>
      </c>
      <c r="N28" s="230" t="str">
        <f t="shared" si="44"/>
        <v/>
      </c>
      <c r="O28" s="230" t="str">
        <f t="shared" si="44"/>
        <v/>
      </c>
      <c r="P28" s="230" t="str">
        <f t="shared" si="44"/>
        <v/>
      </c>
      <c r="Q28" s="230" t="str">
        <f t="shared" si="44"/>
        <v/>
      </c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</row>
    <row r="29">
      <c r="C29" s="229"/>
      <c r="F29" s="230" t="str">
        <f t="shared" ref="F29:Q29" si="45">if($C29="","",$C29*F$4)</f>
        <v/>
      </c>
      <c r="G29" s="230" t="str">
        <f t="shared" si="45"/>
        <v/>
      </c>
      <c r="H29" s="230" t="str">
        <f t="shared" si="45"/>
        <v/>
      </c>
      <c r="I29" s="230" t="str">
        <f t="shared" si="45"/>
        <v/>
      </c>
      <c r="J29" s="230" t="str">
        <f t="shared" si="45"/>
        <v/>
      </c>
      <c r="K29" s="231" t="str">
        <f t="shared" si="45"/>
        <v/>
      </c>
      <c r="L29" s="230" t="str">
        <f t="shared" si="45"/>
        <v/>
      </c>
      <c r="M29" s="230" t="str">
        <f t="shared" si="45"/>
        <v/>
      </c>
      <c r="N29" s="230" t="str">
        <f t="shared" si="45"/>
        <v/>
      </c>
      <c r="O29" s="230" t="str">
        <f t="shared" si="45"/>
        <v/>
      </c>
      <c r="P29" s="230" t="str">
        <f t="shared" si="45"/>
        <v/>
      </c>
      <c r="Q29" s="230" t="str">
        <f t="shared" si="45"/>
        <v/>
      </c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</row>
    <row r="30">
      <c r="C30" s="229"/>
      <c r="F30" s="230" t="str">
        <f t="shared" ref="F30:Q30" si="46">if($C30="","",$C30*F$4)</f>
        <v/>
      </c>
      <c r="G30" s="230" t="str">
        <f t="shared" si="46"/>
        <v/>
      </c>
      <c r="H30" s="230" t="str">
        <f t="shared" si="46"/>
        <v/>
      </c>
      <c r="I30" s="230" t="str">
        <f t="shared" si="46"/>
        <v/>
      </c>
      <c r="J30" s="230" t="str">
        <f t="shared" si="46"/>
        <v/>
      </c>
      <c r="K30" s="231" t="str">
        <f t="shared" si="46"/>
        <v/>
      </c>
      <c r="L30" s="230" t="str">
        <f t="shared" si="46"/>
        <v/>
      </c>
      <c r="M30" s="230" t="str">
        <f t="shared" si="46"/>
        <v/>
      </c>
      <c r="N30" s="230" t="str">
        <f t="shared" si="46"/>
        <v/>
      </c>
      <c r="O30" s="230" t="str">
        <f t="shared" si="46"/>
        <v/>
      </c>
      <c r="P30" s="230" t="str">
        <f t="shared" si="46"/>
        <v/>
      </c>
      <c r="Q30" s="230" t="str">
        <f t="shared" si="46"/>
        <v/>
      </c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</row>
  </sheetData>
  <mergeCells count="31">
    <mergeCell ref="B1:Q1"/>
    <mergeCell ref="S1:AD4"/>
    <mergeCell ref="B2:B3"/>
    <mergeCell ref="N2:N3"/>
    <mergeCell ref="B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8:E28"/>
    <mergeCell ref="C29:E29"/>
    <mergeCell ref="C30:E30"/>
    <mergeCell ref="C21:E21"/>
    <mergeCell ref="C22:E22"/>
    <mergeCell ref="C23:E23"/>
    <mergeCell ref="C24:E24"/>
    <mergeCell ref="C25:E25"/>
    <mergeCell ref="C26:E26"/>
    <mergeCell ref="C27:E27"/>
  </mergeCells>
  <conditionalFormatting sqref="C5:E24">
    <cfRule type="expression" dxfId="1" priority="1">
      <formula>A5=true</formula>
    </cfRule>
  </conditionalFormatting>
  <conditionalFormatting sqref="F5:Q24">
    <cfRule type="expression" dxfId="2" priority="2">
      <formula>not(S5="")</formula>
    </cfRule>
  </conditionalFormatting>
  <drawing r:id="rId1"/>
</worksheet>
</file>